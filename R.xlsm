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defaultThemeVersion="124226"/>
  <mc:AlternateContent xmlns:mc="http://schemas.openxmlformats.org/markup-compatibility/2006">
    <mc:Choice Requires="x15">
      <x15ac:absPath xmlns:x15ac="http://schemas.microsoft.com/office/spreadsheetml/2010/11/ac" url="C:\Users\moham\Desktop\Study\4eme_info\S2\PS\projetS\"/>
    </mc:Choice>
  </mc:AlternateContent>
  <xr:revisionPtr revIDLastSave="0" documentId="13_ncr:1_{31FDDA8B-590C-41D1-8C80-40AE5B10CF6A}" xr6:coauthVersionLast="47" xr6:coauthVersionMax="47" xr10:uidLastSave="{00000000-0000-0000-0000-000000000000}"/>
  <bookViews>
    <workbookView xWindow="-108" yWindow="-108" windowWidth="23256" windowHeight="12576" tabRatio="603" activeTab="2" xr2:uid="{00000000-000D-0000-FFFF-FFFF00000000}"/>
  </bookViews>
  <sheets>
    <sheet name="cartographie_des_risques" sheetId="15" r:id="rId1"/>
    <sheet name="Grilles_Cotation" sheetId="18" r:id="rId2"/>
    <sheet name="Matrice_Risque_Globale" sheetId="19" r:id="rId3"/>
    <sheet name="EJM-Risk Management Plan" sheetId="1" state="hidden" r:id="rId4"/>
    <sheet name="B - Approbations" sheetId="12" state="hidden" r:id="rId5"/>
    <sheet name="Sheet1" sheetId="11" state="hidden" r:id="rId6"/>
  </sheets>
  <definedNames>
    <definedName name="_xlnm._FilterDatabase" localSheetId="0" hidden="1">cartographie_des_risques!$H$1:$H$69</definedName>
    <definedName name="impact">#REF!</definedName>
    <definedName name="likelihood">#REF!</definedName>
    <definedName name="_xlnm.Print_Area" localSheetId="0">cartographie_des_risques!$C$7:$N$66</definedName>
    <definedName name="_xlnm.Print_Area" localSheetId="3">'EJM-Risk Management Plan'!$B$3:$R$29</definedName>
    <definedName name="_xlnm.Print_Titles" localSheetId="3">'EJM-Risk Management Plan'!$4:$5</definedName>
    <definedName name="riskmatrix">#REF!</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63" i="15" l="1" a="1"/>
  <c r="H63" i="15" s="1"/>
  <c r="U37" i="15"/>
  <c r="U38" i="15"/>
  <c r="U39" i="15"/>
  <c r="U40" i="15"/>
  <c r="N38" i="15" l="1"/>
  <c r="H38" i="15" s="1" a="1"/>
  <c r="H38" i="15" s="1"/>
  <c r="N37" i="15"/>
  <c r="H37" i="15" s="1" a="1"/>
  <c r="H37" i="15" s="1"/>
  <c r="N39" i="15"/>
  <c r="H39" i="15" s="1" a="1"/>
  <c r="H39" i="15" s="1"/>
  <c r="U19" i="15"/>
  <c r="U13" i="15"/>
  <c r="U66" i="15"/>
  <c r="U65" i="15"/>
  <c r="U64" i="15"/>
  <c r="U63" i="15"/>
  <c r="U62" i="15"/>
  <c r="U61" i="15"/>
  <c r="U60" i="15"/>
  <c r="U59" i="15"/>
  <c r="U58" i="15"/>
  <c r="U57" i="15"/>
  <c r="U56" i="15"/>
  <c r="U55" i="15"/>
  <c r="U54" i="15"/>
  <c r="U53" i="15"/>
  <c r="U52" i="15"/>
  <c r="U51" i="15"/>
  <c r="U50" i="15"/>
  <c r="U49" i="15"/>
  <c r="U48" i="15"/>
  <c r="U47" i="15"/>
  <c r="U46" i="15"/>
  <c r="U45" i="15"/>
  <c r="U44" i="15"/>
  <c r="U43" i="15"/>
  <c r="U42" i="15"/>
  <c r="U41" i="15"/>
  <c r="U36" i="15"/>
  <c r="U35" i="15"/>
  <c r="U34" i="15"/>
  <c r="U33" i="15"/>
  <c r="U32" i="15"/>
  <c r="U31" i="15"/>
  <c r="U30" i="15"/>
  <c r="U29" i="15"/>
  <c r="U28" i="15"/>
  <c r="U27" i="15"/>
  <c r="U26" i="15"/>
  <c r="U25" i="15"/>
  <c r="U24" i="15"/>
  <c r="U23" i="15"/>
  <c r="U22" i="15"/>
  <c r="U21" i="15"/>
  <c r="U20" i="15"/>
  <c r="U18" i="15"/>
  <c r="U17" i="15"/>
  <c r="U16" i="15"/>
  <c r="U15" i="15"/>
  <c r="U14" i="15"/>
  <c r="U12" i="15"/>
  <c r="U11" i="15"/>
  <c r="N10" i="15"/>
  <c r="H10" i="15" s="1" a="1"/>
  <c r="H10" i="15" s="1"/>
  <c r="N66" i="15" l="1"/>
  <c r="H66" i="15" s="1" a="1"/>
  <c r="H66" i="15" s="1"/>
  <c r="N65" i="15"/>
  <c r="H65" i="15" s="1" a="1"/>
  <c r="H65" i="15" s="1"/>
  <c r="N64" i="15"/>
  <c r="H64" i="15" s="1" a="1"/>
  <c r="H64" i="15" s="1"/>
  <c r="N63" i="15"/>
  <c r="N62" i="15"/>
  <c r="H62" i="15" s="1" a="1"/>
  <c r="H62" i="15" s="1"/>
  <c r="N61" i="15"/>
  <c r="H61" i="15" s="1" a="1"/>
  <c r="H61" i="15" s="1"/>
  <c r="N60" i="15"/>
  <c r="H60" i="15" s="1" a="1"/>
  <c r="H60" i="15" s="1"/>
  <c r="N59" i="15"/>
  <c r="H59" i="15" s="1" a="1"/>
  <c r="H59" i="15" s="1"/>
  <c r="N58" i="15"/>
  <c r="H58" i="15" s="1" a="1"/>
  <c r="H58" i="15" s="1"/>
  <c r="N57" i="15"/>
  <c r="H57" i="15" s="1" a="1"/>
  <c r="H57" i="15" s="1"/>
  <c r="N56" i="15"/>
  <c r="H56" i="15" s="1" a="1"/>
  <c r="H56" i="15" s="1"/>
  <c r="N55" i="15"/>
  <c r="H55" i="15" s="1" a="1"/>
  <c r="H55" i="15" s="1"/>
  <c r="N54" i="15"/>
  <c r="H54" i="15" s="1" a="1"/>
  <c r="H54" i="15" s="1"/>
  <c r="N53" i="15"/>
  <c r="H53" i="15" s="1" a="1"/>
  <c r="H53" i="15" s="1"/>
  <c r="N52" i="15"/>
  <c r="H52" i="15" s="1" a="1"/>
  <c r="H52" i="15" s="1"/>
  <c r="N51" i="15"/>
  <c r="H51" i="15" s="1" a="1"/>
  <c r="H51" i="15" s="1"/>
  <c r="N50" i="15"/>
  <c r="H50" i="15" s="1" a="1"/>
  <c r="H50" i="15" s="1"/>
  <c r="N49" i="15"/>
  <c r="H49" i="15" s="1" a="1"/>
  <c r="H49" i="15" s="1"/>
  <c r="N48" i="15"/>
  <c r="H48" i="15" s="1" a="1"/>
  <c r="H48" i="15" s="1"/>
  <c r="N47" i="15"/>
  <c r="H47" i="15" s="1" a="1"/>
  <c r="H47" i="15" s="1"/>
  <c r="N46" i="15"/>
  <c r="H46" i="15" s="1" a="1"/>
  <c r="H46" i="15" s="1"/>
  <c r="N45" i="15"/>
  <c r="H45" i="15" s="1" a="1"/>
  <c r="H45" i="15" s="1"/>
  <c r="N44" i="15"/>
  <c r="H44" i="15" s="1" a="1"/>
  <c r="H44" i="15" s="1"/>
  <c r="N43" i="15"/>
  <c r="H43" i="15" s="1" a="1"/>
  <c r="H43" i="15" s="1"/>
  <c r="N42" i="15"/>
  <c r="H42" i="15" s="1" a="1"/>
  <c r="H42" i="15" s="1"/>
  <c r="N41" i="15"/>
  <c r="H41" i="15" s="1" a="1"/>
  <c r="H41" i="15" s="1"/>
  <c r="N40" i="15"/>
  <c r="H40" i="15" s="1" a="1"/>
  <c r="H40" i="15" s="1"/>
  <c r="N36" i="15"/>
  <c r="H36" i="15" s="1" a="1"/>
  <c r="H36" i="15" s="1"/>
  <c r="N35" i="15"/>
  <c r="H35" i="15" s="1" a="1"/>
  <c r="H35" i="15" s="1"/>
  <c r="N34" i="15"/>
  <c r="H34" i="15" s="1" a="1"/>
  <c r="H34" i="15" s="1"/>
  <c r="N33" i="15"/>
  <c r="H33" i="15" s="1" a="1"/>
  <c r="H33" i="15" s="1"/>
  <c r="N32" i="15"/>
  <c r="H32" i="15" s="1" a="1"/>
  <c r="H32" i="15" s="1"/>
  <c r="N31" i="15"/>
  <c r="H31" i="15" s="1" a="1"/>
  <c r="H31" i="15" s="1"/>
  <c r="N30" i="15"/>
  <c r="H30" i="15" s="1" a="1"/>
  <c r="H30" i="15" s="1"/>
  <c r="N29" i="15"/>
  <c r="H29" i="15" s="1" a="1"/>
  <c r="H29" i="15" s="1"/>
  <c r="N28" i="15"/>
  <c r="H28" i="15" s="1" a="1"/>
  <c r="H28" i="15" s="1"/>
  <c r="N27" i="15"/>
  <c r="H27" i="15" s="1" a="1"/>
  <c r="H27" i="15" s="1"/>
  <c r="N26" i="15"/>
  <c r="H26" i="15" s="1" a="1"/>
  <c r="H26" i="15" s="1"/>
  <c r="N25" i="15"/>
  <c r="H25" i="15" s="1" a="1"/>
  <c r="H25" i="15" s="1"/>
  <c r="N24" i="15"/>
  <c r="H24" i="15" s="1" a="1"/>
  <c r="H24" i="15" s="1"/>
  <c r="N23" i="15"/>
  <c r="H23" i="15" s="1" a="1"/>
  <c r="H23" i="15" s="1"/>
  <c r="N22" i="15"/>
  <c r="H22" i="15" s="1" a="1"/>
  <c r="H22" i="15" s="1"/>
  <c r="N21" i="15"/>
  <c r="H21" i="15" s="1" a="1"/>
  <c r="H21" i="15" s="1"/>
  <c r="N20" i="15"/>
  <c r="H20" i="15" s="1" a="1"/>
  <c r="H20" i="15" s="1"/>
  <c r="N19" i="15"/>
  <c r="H19" i="15" s="1" a="1"/>
  <c r="H19" i="15" s="1"/>
  <c r="N18" i="15"/>
  <c r="H18" i="15" s="1" a="1"/>
  <c r="H18" i="15" s="1"/>
  <c r="N17" i="15"/>
  <c r="H17" i="15" s="1" a="1"/>
  <c r="H17" i="15" s="1"/>
  <c r="N16" i="15"/>
  <c r="H16" i="15" s="1" a="1"/>
  <c r="H16" i="15" s="1"/>
  <c r="N15" i="15"/>
  <c r="H15" i="15" s="1" a="1"/>
  <c r="H15" i="15" s="1"/>
  <c r="N14" i="15"/>
  <c r="H14" i="15" s="1" a="1"/>
  <c r="H14" i="15" s="1"/>
  <c r="N11" i="15"/>
  <c r="H11" i="15" s="1" a="1"/>
  <c r="H11" i="15" s="1"/>
  <c r="N13" i="15"/>
  <c r="H13" i="15" s="1" a="1"/>
  <c r="H13" i="15" s="1"/>
  <c r="N12" i="15"/>
  <c r="H12" i="15" s="1" a="1"/>
  <c r="H12" i="15" s="1"/>
  <c r="U10" i="15"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<sst xmlns="http://schemas.openxmlformats.org/spreadsheetml/2006/main" count="1268" uniqueCount="676">
  <si>
    <t>Analyse des risques majeurs</t>
  </si>
  <si>
    <t>Mitigation des risques</t>
  </si>
  <si>
    <t>Catégorie</t>
  </si>
  <si>
    <t xml:space="preserve">Risques </t>
  </si>
  <si>
    <t xml:space="preserve">Observation </t>
  </si>
  <si>
    <r>
      <rPr>
        <b/>
        <sz val="8"/>
        <color rgb="FF002060"/>
        <rFont val="Arial Black"/>
        <family val="2"/>
      </rPr>
      <t>Type de risque</t>
    </r>
    <r>
      <rPr>
        <b/>
        <sz val="9"/>
        <color rgb="FF002060"/>
        <rFont val="Arial Black"/>
        <family val="2"/>
      </rPr>
      <t xml:space="preserve"> </t>
    </r>
    <r>
      <rPr>
        <b/>
        <sz val="6"/>
        <color rgb="FF002060"/>
        <rFont val="Arial Black"/>
        <family val="2"/>
      </rPr>
      <t>(général ou spécifique)</t>
    </r>
  </si>
  <si>
    <t>Code de risque</t>
  </si>
  <si>
    <t>Conséquences/impacts prévus/attendus</t>
  </si>
  <si>
    <t xml:space="preserve">Responsabilité </t>
  </si>
  <si>
    <t>Score du risque</t>
  </si>
  <si>
    <t>Mesure de gestion</t>
  </si>
  <si>
    <t>Date de la décision</t>
  </si>
  <si>
    <t xml:space="preserve">Stratégie de mise en œuvre de la gestion des risques  </t>
  </si>
  <si>
    <t>Description de la stratégie de mise en œuvre (Dispositif/ recommandation à mettre en place pour mitiger le risque)</t>
  </si>
  <si>
    <t>Réévaluation et mise à jour des risques (Risque risiduel)</t>
  </si>
  <si>
    <t>Plan d’action de gestion des risques</t>
  </si>
  <si>
    <t>Périodicité</t>
  </si>
  <si>
    <t>Responsabilité</t>
  </si>
  <si>
    <t>Date de début</t>
  </si>
  <si>
    <t>Date de fin</t>
  </si>
  <si>
    <t>Fréquence de mise à jour</t>
  </si>
  <si>
    <t>Statut</t>
  </si>
  <si>
    <t>Indicateurs clés de risque
KRIs</t>
  </si>
  <si>
    <t>Interne/ Externe</t>
  </si>
  <si>
    <t xml:space="preserve">Spécifier
la personne responsable </t>
  </si>
  <si>
    <t>Probabilité</t>
  </si>
  <si>
    <t>impact</t>
  </si>
  <si>
    <r>
      <rPr>
        <b/>
        <sz val="9"/>
        <color rgb="FF002060"/>
        <rFont val="Arial Black"/>
        <family val="2"/>
      </rPr>
      <t xml:space="preserve">Criticité 
</t>
    </r>
    <r>
      <rPr>
        <b/>
        <sz val="6"/>
        <color rgb="FF002060"/>
        <rFont val="Arial Black"/>
        <family val="2"/>
      </rPr>
      <t>= Probabilité x Impact</t>
    </r>
  </si>
  <si>
    <t>Fréquence</t>
  </si>
  <si>
    <t>Risque Net</t>
  </si>
  <si>
    <t xml:space="preserve">Risques juridique et reglémentaires </t>
  </si>
  <si>
    <t>RG</t>
  </si>
  <si>
    <t>R1</t>
  </si>
  <si>
    <t>Avoir des problèmes avec les autorités légales, fiscales et sociales du pays (payer des amendes, arreter le projet, ect…)</t>
  </si>
  <si>
    <t>Interne</t>
  </si>
  <si>
    <t>Organisation lead de chaque pays</t>
  </si>
  <si>
    <t xml:space="preserve">Règles/procédures </t>
  </si>
  <si>
    <t>Atténuer</t>
  </si>
  <si>
    <t xml:space="preserve">
Veille continue sur le  repect des exigences reglémentaires existantes et sur les nouvelles publications des décrets loi et des notes reglemantaires 
</t>
  </si>
  <si>
    <r>
      <rPr>
        <b/>
        <sz val="8"/>
        <color rgb="FFFF0000"/>
        <rFont val="Times New Roman"/>
        <family val="1"/>
      </rPr>
      <t>*</t>
    </r>
    <r>
      <rPr>
        <sz val="8"/>
        <rFont val="Times New Roman"/>
        <family val="1"/>
      </rPr>
      <t xml:space="preserve">s'assurer du respect de la reglementaion dans   chaque opération exécutée
</t>
    </r>
    <r>
      <rPr>
        <b/>
        <sz val="8"/>
        <color rgb="FFFF0000"/>
        <rFont val="Times New Roman"/>
        <family val="1"/>
      </rPr>
      <t>*</t>
    </r>
    <r>
      <rPr>
        <sz val="8"/>
        <rFont val="Times New Roman"/>
        <family val="1"/>
      </rPr>
      <t xml:space="preserve">Elaborer un guide/ check liste reglementaire  pour s'assurer de la conformité </t>
    </r>
  </si>
  <si>
    <t>Constant</t>
  </si>
  <si>
    <t xml:space="preserve">Actif </t>
  </si>
  <si>
    <t>Nombre d'infraction et avertissement reçus</t>
  </si>
  <si>
    <t>La non capacité de respecter les clauses contractuelles établies entre le consortium, le consortium élargi et les partenaires : conditions générales des contrats, livrables,…</t>
  </si>
  <si>
    <t>R2</t>
  </si>
  <si>
    <t xml:space="preserve">Perturbation des activités, retard de livrables, ralentissement du projet </t>
  </si>
  <si>
    <t>Organisation contractuelle</t>
  </si>
  <si>
    <t>Veille continue sur le  repect des exigences contractuelles, les délais de reporting, les activités, ect…</t>
  </si>
  <si>
    <r>
      <rPr>
        <sz val="8"/>
        <color rgb="FFFF0000"/>
        <rFont val="Times New Roman"/>
        <family val="1"/>
      </rPr>
      <t>*</t>
    </r>
    <r>
      <rPr>
        <sz val="8"/>
        <rFont val="Times New Roman"/>
        <family val="1"/>
      </rPr>
      <t xml:space="preserve">Assurer le bon déroulement des conditions contractuelles par les coordos
</t>
    </r>
    <r>
      <rPr>
        <sz val="8"/>
        <color rgb="FFFF0000"/>
        <rFont val="Times New Roman"/>
        <family val="1"/>
      </rPr>
      <t>*</t>
    </r>
    <r>
      <rPr>
        <sz val="8"/>
        <rFont val="Times New Roman"/>
        <family val="1"/>
      </rPr>
      <t xml:space="preserve">Contrôler la qualité des rapports par l'UMO
</t>
    </r>
    <r>
      <rPr>
        <sz val="8"/>
        <color rgb="FFFF0000"/>
        <rFont val="Times New Roman"/>
        <family val="1"/>
      </rPr>
      <t>*</t>
    </r>
    <r>
      <rPr>
        <sz val="8"/>
        <rFont val="Times New Roman"/>
        <family val="1"/>
      </rPr>
      <t xml:space="preserve">Rappeler les parties contratuelles des délais pévisionnels 
</t>
    </r>
  </si>
  <si>
    <t>Nombre des dépassements des délais , nombre de réclamations remontées par les coodos</t>
  </si>
  <si>
    <t>Risques stratégiques et de gouvernance</t>
  </si>
  <si>
    <t>Risques liés à la communication interne</t>
  </si>
  <si>
    <t>R3</t>
  </si>
  <si>
    <t>Perte de temps , baisse de l'activité, désengagement de la part des parties concernés</t>
  </si>
  <si>
    <t>CDP/CDPA/ responsable com</t>
  </si>
  <si>
    <t xml:space="preserve">Supervision </t>
  </si>
  <si>
    <t>Veille continue pour assurer une communication transparente et efficace entre les 3 organisations</t>
  </si>
  <si>
    <r>
      <rPr>
        <sz val="8"/>
        <color rgb="FFFF0000"/>
        <rFont val="Times New Roman"/>
        <family val="1"/>
      </rPr>
      <t>*</t>
    </r>
    <r>
      <rPr>
        <sz val="8"/>
        <rFont val="Times New Roman"/>
        <family val="1"/>
      </rPr>
      <t xml:space="preserve">Assurer de la diffusion de l'information au temps opportun 
</t>
    </r>
    <r>
      <rPr>
        <sz val="8"/>
        <color rgb="FFFF0000"/>
        <rFont val="Times New Roman"/>
        <family val="1"/>
      </rPr>
      <t>*</t>
    </r>
    <r>
      <rPr>
        <sz val="8"/>
        <rFont val="Times New Roman"/>
        <family val="1"/>
      </rPr>
      <t xml:space="preserve">Assurer que tous les documents du projet sont partagés avec les 3 org sur SharePoint, ou par mail
</t>
    </r>
  </si>
  <si>
    <t>mensuel</t>
  </si>
  <si>
    <t>Taux d'utilisation de SharePoint</t>
  </si>
  <si>
    <t>Risques liés à des désaccords stratégiques au sein du consortium</t>
  </si>
  <si>
    <t>Le risque de la non-synchronisation stratégique entre les différentes organisations du consortium et consortium élargi</t>
  </si>
  <si>
    <t>R4</t>
  </si>
  <si>
    <t>Ralentissement des activités
Conflits entre les acteurs du projets
Echec du projet</t>
  </si>
  <si>
    <t>Responsable du projet de chaque organisation du consortium et consortium élargi</t>
  </si>
  <si>
    <t>Clarifier et synchroniser les relations entre les différents acteurs, consortium et consortium élargi et définir les différents niveaux de responsabilité de chacun
Elaborer la stratégie globale du projet et définir le mode de gouvernance dans le projet</t>
  </si>
  <si>
    <r>
      <rPr>
        <sz val="8"/>
        <color rgb="FFFF0000"/>
        <rFont val="Times New Roman"/>
        <family val="1"/>
      </rPr>
      <t>*</t>
    </r>
    <r>
      <rPr>
        <sz val="8"/>
        <rFont val="Times New Roman"/>
        <family val="1"/>
      </rPr>
      <t xml:space="preserve">Le document , le cadre logique et le contrat du projet (qui décrivent l'objectif et la stratégie du projet)  sont partagés avec tous les acteurs du cons et conso élargi 
</t>
    </r>
    <r>
      <rPr>
        <sz val="8"/>
        <color rgb="FFFF0000"/>
        <rFont val="Times New Roman"/>
        <family val="1"/>
      </rPr>
      <t>*</t>
    </r>
    <r>
      <rPr>
        <sz val="8"/>
        <rFont val="Times New Roman"/>
        <family val="1"/>
      </rPr>
      <t xml:space="preserve">Un plan de travail commun est mis en place </t>
    </r>
  </si>
  <si>
    <t>annuel</t>
  </si>
  <si>
    <t>Responsable  du projet de chaque organisation du consortium et consortium élargi</t>
  </si>
  <si>
    <t>Conflit entre les membres du consortium</t>
  </si>
  <si>
    <t>Différence au niveau de :méthode de travail, vision et intreprétations, prise de décision, procédures mis en places,..</t>
  </si>
  <si>
    <t>R5</t>
  </si>
  <si>
    <t xml:space="preserve">Ralentissement des activités
Blocage des activités
Retard dans la prise de décision </t>
  </si>
  <si>
    <t>Responsable du projet de chaque organisation du consortium</t>
  </si>
  <si>
    <t xml:space="preserve">Assurer que les procédures mise en place par chaque org. du conso. Ne sont pas en conflit avec le mode de gestion du projet et sont convenable appliquées 
Assurer de la bonne communication et la concertation avec le management du projet avant la prise des décisions 
</t>
  </si>
  <si>
    <r>
      <rPr>
        <sz val="8"/>
        <color rgb="FFFF0000"/>
        <rFont val="Times New Roman"/>
        <family val="1"/>
      </rPr>
      <t>*</t>
    </r>
    <r>
      <rPr>
        <sz val="8"/>
        <rFont val="Times New Roman"/>
        <family val="1"/>
      </rPr>
      <t xml:space="preserve">Un manuel de procédures du projet est mis en place et partagé avec les org. du conso.
</t>
    </r>
    <r>
      <rPr>
        <sz val="8"/>
        <color rgb="FFFF0000"/>
        <rFont val="Times New Roman"/>
        <family val="1"/>
      </rPr>
      <t>*</t>
    </r>
    <r>
      <rPr>
        <sz val="8"/>
        <rFont val="Times New Roman"/>
        <family val="1"/>
      </rPr>
      <t xml:space="preserve">Les procédures des 3 org. sont partagées dans le cadre du projet
</t>
    </r>
    <r>
      <rPr>
        <sz val="8"/>
        <color rgb="FFFF0000"/>
        <rFont val="Times New Roman"/>
        <family val="1"/>
      </rPr>
      <t>*</t>
    </r>
    <r>
      <rPr>
        <sz val="8"/>
        <rFont val="Times New Roman"/>
        <family val="1"/>
      </rPr>
      <t>Des réunions permanentes sont tenues entre les org. de cons.</t>
    </r>
  </si>
  <si>
    <t>Conflit entre les partenaires étatiques du projet</t>
  </si>
  <si>
    <t>RS</t>
  </si>
  <si>
    <t>R6</t>
  </si>
  <si>
    <t>Ralentissement des activités
Blocage et/ou retardent le projet</t>
  </si>
  <si>
    <t>Externe</t>
  </si>
  <si>
    <t>Chaque organisation lead du pays</t>
  </si>
  <si>
    <t>Réévaluation</t>
  </si>
  <si>
    <t xml:space="preserve">Assurer le suivi et l'évaluation de la situation de chaque pays du projet
Exploiter l'étude n°9 (Gestion de projet sensible aux conflits GPSC) réalisée dans le cadre du projet </t>
  </si>
  <si>
    <r>
      <rPr>
        <sz val="8"/>
        <color rgb="FFFF0000"/>
        <rFont val="Times New Roman"/>
        <family val="1"/>
      </rPr>
      <t>*</t>
    </r>
    <r>
      <rPr>
        <sz val="8"/>
        <rFont val="Times New Roman"/>
        <family val="1"/>
      </rPr>
      <t xml:space="preserve">Suivi quotidien de la situation des pays avec les partenaires, les parties prenantes;
</t>
    </r>
    <r>
      <rPr>
        <sz val="8"/>
        <color rgb="FFFF0000"/>
        <rFont val="Times New Roman"/>
        <family val="1"/>
      </rPr>
      <t>*</t>
    </r>
    <r>
      <rPr>
        <sz val="8"/>
        <rFont val="Times New Roman"/>
        <family val="1"/>
      </rPr>
      <t>Tenue régulière des réunion avec les coordos pays</t>
    </r>
  </si>
  <si>
    <t>Conflit entre les partenaires non étatiques du projet (formels et informels)</t>
  </si>
  <si>
    <t>R7</t>
  </si>
  <si>
    <t>Ralentissement des activités
Blocage et/ou retard du projet</t>
  </si>
  <si>
    <t xml:space="preserve">Mauvaise coordination entre les comités de pilotage régionaux et nationaux : non participation ou une faible implication de chacun des pays cibles  </t>
  </si>
  <si>
    <t xml:space="preserve">Risque de la non participation  </t>
  </si>
  <si>
    <t>R8</t>
  </si>
  <si>
    <t>Une difficulté à planifier et à coordonner des actions précises vers l'atteinte de l'objectif du projet</t>
  </si>
  <si>
    <t>CDP</t>
  </si>
  <si>
    <t>Assurer que les comités de pilotage régionaux et nationaux sont impliqués dans le projet et participent dans la prise des décisions et le suivi du projet</t>
  </si>
  <si>
    <r>
      <t>*</t>
    </r>
    <r>
      <rPr>
        <sz val="8"/>
        <rFont val="Times New Roman"/>
        <family val="1"/>
      </rPr>
      <t xml:space="preserve">Le document du projet décrit le rôle et le mode de fonctionnement des comités technique et pilotage </t>
    </r>
    <r>
      <rPr>
        <sz val="8"/>
        <color rgb="FFFF0000"/>
        <rFont val="Times New Roman"/>
        <family val="1"/>
      </rPr>
      <t xml:space="preserve">
 *</t>
    </r>
    <r>
      <rPr>
        <sz val="8"/>
        <rFont val="Times New Roman"/>
        <family val="1"/>
      </rPr>
      <t xml:space="preserve">S'assurer de la tenue régulière de ces comités selon les termes de document de projet </t>
    </r>
  </si>
  <si>
    <t>semestriel</t>
  </si>
  <si>
    <t xml:space="preserve">Nombre des réunions tenues des comités </t>
  </si>
  <si>
    <t xml:space="preserve">Mauvaise coordination avec les opérationnels Suisses impliqués dans le projet </t>
  </si>
  <si>
    <t>R9</t>
  </si>
  <si>
    <t>Manque de visibilité sur le projet par l'organisation Lead
Mauvaise gestion du projet qui peut impacter sa réussite</t>
  </si>
  <si>
    <t xml:space="preserve">Essayer d'impliquer toujours les opérationnels Suisses dans projet </t>
  </si>
  <si>
    <r>
      <t>*</t>
    </r>
    <r>
      <rPr>
        <sz val="8"/>
        <rFont val="Times New Roman"/>
        <family val="1"/>
      </rPr>
      <t xml:space="preserve">Planification des réunions hebdomadaire avec les opérationnels au siège Helvetas
</t>
    </r>
    <r>
      <rPr>
        <sz val="8"/>
        <color rgb="FFFF0000"/>
        <rFont val="Times New Roman"/>
        <family val="1"/>
      </rPr>
      <t>*</t>
    </r>
    <r>
      <rPr>
        <sz val="8"/>
        <rFont val="Times New Roman"/>
        <family val="1"/>
      </rPr>
      <t>Echange consatnt des metiers : Finance, Achat, RH ect …</t>
    </r>
  </si>
  <si>
    <t>hebdomadaire</t>
  </si>
  <si>
    <t xml:space="preserve">Nombre des réunions tenues avec les opérationnels du siège Helvetas </t>
  </si>
  <si>
    <t xml:space="preserve">Risques liés aux choix des partenaires </t>
  </si>
  <si>
    <t>R10</t>
  </si>
  <si>
    <t xml:space="preserve">Mauvaise qualité des activités 
Objectif non atteint 
Blocage ou ralentissement du projet </t>
  </si>
  <si>
    <t>UMO</t>
  </si>
  <si>
    <t>Assurer un bon choix de partenariat : un partenaire ayant les  valeurs et l'éthique de travail proche de celles du projet, bonne réputation, expérience requise dans le domaine, sens d'engagement et appartenance ect...</t>
  </si>
  <si>
    <r>
      <t>*</t>
    </r>
    <r>
      <rPr>
        <sz val="8"/>
        <rFont val="Times New Roman"/>
        <family val="1"/>
      </rPr>
      <t>Procéder à une évaluation de partenaire avant de conclure un contrat (Due Diligence)</t>
    </r>
    <r>
      <rPr>
        <sz val="8"/>
        <color rgb="FFFF0000"/>
        <rFont val="Times New Roman"/>
        <family val="1"/>
      </rPr>
      <t xml:space="preserve">
*</t>
    </r>
    <r>
      <rPr>
        <sz val="8"/>
        <rFont val="Times New Roman"/>
        <family val="1"/>
      </rPr>
      <t>Assurer des réévaluations occationnelles des partenaires</t>
    </r>
  </si>
  <si>
    <t>Nombre d'objectifs atteint (activités, formation,étude,..)</t>
  </si>
  <si>
    <t xml:space="preserve">Mauvaise identification des besoins prioritaires (en matère de l'éducation , insertion et protection) des pays cibles menant à l'inadéquation entre le programme du projet et les besoins locaux </t>
  </si>
  <si>
    <t xml:space="preserve">des résultats inéfficaces suite à une mauvaise évaluation du contexte spécifique de chaque pays </t>
  </si>
  <si>
    <t>R11</t>
  </si>
  <si>
    <t xml:space="preserve">Objectifs non atteints et résultat non satisfaisant </t>
  </si>
  <si>
    <t xml:space="preserve">Les 3 organisations </t>
  </si>
  <si>
    <t xml:space="preserve">Bien étudier les besoins par pays et identifier correctement les besoins prioritaires spécifique de chaque pays </t>
  </si>
  <si>
    <r>
      <rPr>
        <b/>
        <sz val="8"/>
        <color rgb="FFFF0000"/>
        <rFont val="Times New Roman"/>
        <family val="1"/>
      </rPr>
      <t>*</t>
    </r>
    <r>
      <rPr>
        <sz val="8"/>
        <rFont val="Times New Roman"/>
        <family val="1"/>
      </rPr>
      <t xml:space="preserve">Impliquer les coordos dans l'identifications des besoins prioritaires 
</t>
    </r>
    <r>
      <rPr>
        <b/>
        <sz val="8"/>
        <color rgb="FFFF0000"/>
        <rFont val="Times New Roman"/>
        <family val="1"/>
      </rPr>
      <t>*</t>
    </r>
    <r>
      <rPr>
        <sz val="8"/>
        <rFont val="Times New Roman"/>
        <family val="1"/>
      </rPr>
      <t>Elaborer un plan MEAL qui permet d'evaluer l'avancement et la mise en œuvre des activités</t>
    </r>
  </si>
  <si>
    <t>Nombre de bénéficiaires satisfaits</t>
  </si>
  <si>
    <t xml:space="preserve">Faible gestion des équipes et management </t>
  </si>
  <si>
    <t xml:space="preserve">En raison de la taille du projet </t>
  </si>
  <si>
    <t>R12</t>
  </si>
  <si>
    <t>Suivi non efficace des équipes,
Perturbation au niveau de la communication
une mauvaise ambiance de travail et ralentissement de l'exécution du travail à accomplir</t>
  </si>
  <si>
    <t>CDP/CDP</t>
  </si>
  <si>
    <t xml:space="preserve">Assurer une bonne gestion des équipes: 
Faire le lien entre le top management et les différents collaborateurs
Donner les moyens aux collaborateurs de réaliser les missions demandées et s'assurer que tel est bien le cas.
Transmettre les valeurs de l'entreprise, expliquer les raisons d'être des projets dans leur globalité
implémenter une dynamique et une motivation optimales, soigner le bien-être au travail, réduire les tensions, conflits et le turnover, etc.
</t>
  </si>
  <si>
    <r>
      <rPr>
        <sz val="8"/>
        <color rgb="FFFF0000"/>
        <rFont val="Times New Roman"/>
        <family val="1"/>
      </rPr>
      <t>*</t>
    </r>
    <r>
      <rPr>
        <sz val="8"/>
        <rFont val="Times New Roman"/>
        <family val="1"/>
      </rPr>
      <t xml:space="preserve">Assurer une bonne communication 
</t>
    </r>
    <r>
      <rPr>
        <sz val="8"/>
        <color rgb="FFFF0000"/>
        <rFont val="Times New Roman"/>
        <family val="1"/>
      </rPr>
      <t>*</t>
    </r>
    <r>
      <rPr>
        <sz val="8"/>
        <rFont val="Times New Roman"/>
        <family val="1"/>
      </rPr>
      <t xml:space="preserve">Donner et recevoir un feedback régulièrement (heure hebdo)
</t>
    </r>
    <r>
      <rPr>
        <sz val="8"/>
        <color rgb="FFFF0000"/>
        <rFont val="Times New Roman"/>
        <family val="1"/>
      </rPr>
      <t>*</t>
    </r>
    <r>
      <rPr>
        <sz val="8"/>
        <rFont val="Times New Roman"/>
        <family val="1"/>
      </rPr>
      <t>Faire progresser l'équipe : tant au niveau de chaque collaborateur (via du coaching personnalisé, des formations spécifiques ou bien en favorisant l'autonomie et la prise de décision, etc.) que collectivement en encourageant l'intelligence collective, la coopération,ect...</t>
    </r>
  </si>
  <si>
    <t>Hebdomadaire</t>
  </si>
  <si>
    <t>nombre des formations, nombre des réunions des équipes,ect..</t>
  </si>
  <si>
    <t>Impact de la gouvernance de chaque organisation du consortium</t>
  </si>
  <si>
    <t xml:space="preserve">Spécificité de dispositif du contrôle de chaque organisation, difficulté de travailler ensemble et prise des décisions,  la divergence de certaines procedures de trois memebres de consortim </t>
  </si>
  <si>
    <t>R13</t>
  </si>
  <si>
    <t>Divergence dans la prise des décisions, Ralentissement de l'exécution du travail, non efficacité et efficience de la gestion du projet</t>
  </si>
  <si>
    <t>Veiller à reforcer  la gouveranance du projet et de sa structure organisationnelle tout en tenant compte de la gouvernance de chaque organisation du consortium , et essayer de trouver des sotutions qui conviennent aux 3 organisations en cas de blocage</t>
  </si>
  <si>
    <r>
      <rPr>
        <sz val="8"/>
        <color rgb="FFFF0000"/>
        <rFont val="Times New Roman"/>
        <family val="1"/>
      </rPr>
      <t>*</t>
    </r>
    <r>
      <rPr>
        <sz val="8"/>
        <rFont val="Times New Roman"/>
        <family val="1"/>
      </rPr>
      <t xml:space="preserve">Partager le document du projet qui décrit la gouvernance du projet et le mode de fonctionnment en commun
</t>
    </r>
    <r>
      <rPr>
        <sz val="8"/>
        <color rgb="FFFF0000"/>
        <rFont val="Times New Roman"/>
        <family val="1"/>
      </rPr>
      <t>*</t>
    </r>
    <r>
      <rPr>
        <sz val="8"/>
        <rFont val="Times New Roman"/>
        <family val="1"/>
      </rPr>
      <t xml:space="preserve">Partager le manuel de procédures du projet
</t>
    </r>
    <r>
      <rPr>
        <sz val="8"/>
        <color rgb="FFFF0000"/>
        <rFont val="Times New Roman"/>
        <family val="1"/>
      </rPr>
      <t>*</t>
    </r>
    <r>
      <rPr>
        <sz val="8"/>
        <rFont val="Times New Roman"/>
        <family val="1"/>
      </rPr>
      <t>Procéder à des échanges permanents entre les 3 org. pour surmonter les difficultés et pour n'est pas avoir des blocages</t>
    </r>
  </si>
  <si>
    <t>Trimestriel</t>
  </si>
  <si>
    <t>nombre de réunion du consortium</t>
  </si>
  <si>
    <t>Fragmentation du projet à des projets pays au lieu de projet régional</t>
  </si>
  <si>
    <t xml:space="preserve">Risque de  la déviation de l'objectif principal du projet et désfonctionnment du projet </t>
  </si>
  <si>
    <t>R14</t>
  </si>
  <si>
    <t>Objectifs non atteints et résultat non satisfaisant , l'échec du projet</t>
  </si>
  <si>
    <t>Chaque organisation lead du pays/CDP</t>
  </si>
  <si>
    <t>Adopter une approche collaborative, une organisation adéquate au projet, une bonne planifiaction et stratégie 
La présence d’un gestionnaire compétent et d’une équipe performante</t>
  </si>
  <si>
    <r>
      <rPr>
        <sz val="8"/>
        <color rgb="FFFF0000"/>
        <rFont val="Times New Roman"/>
        <family val="1"/>
      </rPr>
      <t>*</t>
    </r>
    <r>
      <rPr>
        <sz val="8"/>
        <rFont val="Times New Roman"/>
        <family val="1"/>
      </rPr>
      <t xml:space="preserve">Sensibilisation des équipes de l'importance de la collaboration dans le projet et qu'on est « one team »
</t>
    </r>
    <r>
      <rPr>
        <sz val="8"/>
        <color rgb="FFFF0000"/>
        <rFont val="Times New Roman"/>
        <family val="1"/>
      </rPr>
      <t>*</t>
    </r>
    <r>
      <rPr>
        <sz val="8"/>
        <rFont val="Times New Roman"/>
        <family val="1"/>
      </rPr>
      <t xml:space="preserve">Garder une bonne communication entre les 3 org. Et  les 5 pays
</t>
    </r>
    <r>
      <rPr>
        <sz val="8"/>
        <color rgb="FFFF0000"/>
        <rFont val="Times New Roman"/>
        <family val="1"/>
      </rPr>
      <t>*</t>
    </r>
    <r>
      <rPr>
        <sz val="8"/>
        <rFont val="Times New Roman"/>
        <family val="1"/>
      </rPr>
      <t>Tenir des réunion hebdo/mensuelles ou trimestrielles avec les différents acteurs du projet dans les 5 pays</t>
    </r>
  </si>
  <si>
    <t>nombre de réunion tenues</t>
  </si>
  <si>
    <t>Projet non adéquat avec les moyens techniques et huamains</t>
  </si>
  <si>
    <t xml:space="preserve">Mauvaise évaluation des besoins pour les moyens techniques et le personnel du projet-mauvaise coordination entre les trois organisations </t>
  </si>
  <si>
    <t>R15</t>
  </si>
  <si>
    <t xml:space="preserve">Risque d'échec pour le projet </t>
  </si>
  <si>
    <t xml:space="preserve">Siège Org. Lead Helvetas /UMO </t>
  </si>
  <si>
    <t>Bien étudier les besoins du projet et par pays et identifier correctement les besoins spécifique de chaque pays qui necessite une réévaluation des besoins techniques et/ou humains</t>
  </si>
  <si>
    <r>
      <rPr>
        <sz val="8"/>
        <color rgb="FFFF0000"/>
        <rFont val="Times New Roman"/>
        <family val="1"/>
      </rPr>
      <t>*</t>
    </r>
    <r>
      <rPr>
        <sz val="8"/>
        <rFont val="Times New Roman"/>
        <family val="1"/>
      </rPr>
      <t xml:space="preserve">Un budget bien étudié et détaillé par pays, par activité est mis en place dés le départ du projet 
</t>
    </r>
    <r>
      <rPr>
        <sz val="8"/>
        <color rgb="FFFF0000"/>
        <rFont val="Times New Roman"/>
        <family val="1"/>
      </rPr>
      <t>*</t>
    </r>
    <r>
      <rPr>
        <sz val="8"/>
        <rFont val="Times New Roman"/>
        <family val="1"/>
      </rPr>
      <t xml:space="preserve">Une marge de tolérence de 15% en cas de dépassement 
</t>
    </r>
    <r>
      <rPr>
        <sz val="8"/>
        <color rgb="FFFF0000"/>
        <rFont val="Times New Roman"/>
        <family val="1"/>
      </rPr>
      <t>*</t>
    </r>
    <r>
      <rPr>
        <sz val="8"/>
        <rFont val="Times New Roman"/>
        <family val="1"/>
      </rPr>
      <t>Des négociation possible avec le bailleur du fonds la DDC pour augmenter le budget (à des conditions précises)</t>
    </r>
  </si>
  <si>
    <t>Risque opérationnel</t>
  </si>
  <si>
    <t xml:space="preserve">Dispositif de controle interne non adéquat avec la taille de projet et du volume des  transactions </t>
  </si>
  <si>
    <t xml:space="preserve">Faiblesse aux niveaux de contrôle 1er, 2eme et 3eme, et difficulté à  la diffusion en interne d’informations relatives aux risques. </t>
  </si>
  <si>
    <t>R16</t>
  </si>
  <si>
    <t xml:space="preserve">Auditeur interne </t>
  </si>
  <si>
    <t xml:space="preserve">Evaluation continue de système de contrôle interne mis en place 
</t>
  </si>
  <si>
    <r>
      <rPr>
        <sz val="8"/>
        <color rgb="FFFF0000"/>
        <rFont val="Times New Roman"/>
        <family val="1"/>
      </rPr>
      <t>*</t>
    </r>
    <r>
      <rPr>
        <sz val="8"/>
        <rFont val="Times New Roman"/>
        <family val="1"/>
      </rPr>
      <t xml:space="preserve">Procéder à une revue  des contrôles N1 et N2, adaptée à la cartographie des risques internes
</t>
    </r>
    <r>
      <rPr>
        <sz val="8"/>
        <color rgb="FFFF0000"/>
        <rFont val="Times New Roman"/>
        <family val="1"/>
      </rPr>
      <t>*</t>
    </r>
    <r>
      <rPr>
        <sz val="8"/>
        <rFont val="Times New Roman"/>
        <family val="1"/>
      </rPr>
      <t xml:space="preserve">Elaborer le plan de contrôle interne 2023 fondé sur les processus
</t>
    </r>
    <r>
      <rPr>
        <sz val="8"/>
        <color rgb="FFFF0000"/>
        <rFont val="Times New Roman"/>
        <family val="1"/>
      </rPr>
      <t>*</t>
    </r>
    <r>
      <rPr>
        <sz val="8"/>
        <rFont val="Times New Roman"/>
        <family val="1"/>
      </rPr>
      <t>Définir une méthodologie de suivi et d’évaluation des contrôles N1 et N2</t>
    </r>
  </si>
  <si>
    <t>nombre des défaillance relevées par l'auditeur interne ou par les contrôles mis en place</t>
  </si>
  <si>
    <t>Complexité de l'audit au niveau du projet en raison de sa taille :  Le risque inhérent &amp; Risque de Non Contrôle &amp; Risque de non-détection</t>
  </si>
  <si>
    <t>R17</t>
  </si>
  <si>
    <t xml:space="preserve">Non détection des anomalies 
Contrôle non pertinent 
Difficulté de l'evaluation des risques des pays </t>
  </si>
  <si>
    <t xml:space="preserve">Evaluation continue de système de contrôle interne mis en place dans tous les pays 
</t>
  </si>
  <si>
    <r>
      <rPr>
        <sz val="8"/>
        <color rgb="FFFF0000"/>
        <rFont val="Times New Roman"/>
        <family val="1"/>
      </rPr>
      <t>*</t>
    </r>
    <r>
      <rPr>
        <sz val="8"/>
        <rFont val="Times New Roman"/>
        <family val="1"/>
      </rPr>
      <t xml:space="preserve">Préparer un plan d'audit adéquat à chaque pays 
</t>
    </r>
    <r>
      <rPr>
        <sz val="8"/>
        <color rgb="FFFF0000"/>
        <rFont val="Times New Roman"/>
        <family val="1"/>
      </rPr>
      <t>*</t>
    </r>
    <r>
      <rPr>
        <sz val="8"/>
        <rFont val="Times New Roman"/>
        <family val="1"/>
      </rPr>
      <t xml:space="preserve">Procéder à des missions d'audit spécifique
</t>
    </r>
    <r>
      <rPr>
        <sz val="8"/>
        <color rgb="FFFF0000"/>
        <rFont val="Times New Roman"/>
        <family val="1"/>
      </rPr>
      <t>*</t>
    </r>
    <r>
      <rPr>
        <sz val="8"/>
        <rFont val="Times New Roman"/>
        <family val="1"/>
      </rPr>
      <t>procéder à des mission d'accompagnement de sensibilisation pour avoir un système de contrôle interne solide</t>
    </r>
  </si>
  <si>
    <t xml:space="preserve">Nombre des missions effectuées (audit et sensibilisation) 
</t>
  </si>
  <si>
    <t>Risque de fraude opérationnelle ( partenaires, contractuels, fournisseurs, bénévoles,ect…)</t>
  </si>
  <si>
    <t>Tout acte illégal caractérisé par la tromperie, la dissimulation ou la violation de la confiance sans qu’il y ait eu violence ou menace de violence. Les fraudes sont perpétrées par des personnes et des organisations afin d’obtenir de l’argent, des biens ou des services, ou de s’assurer un avantage personnel ou commercial.</t>
  </si>
  <si>
    <t>R18</t>
  </si>
  <si>
    <t>Mettre le projet en danger : nuire aux biens , détournement des fonds du projet, menacer les activités, mauvaise réputation du projet et du bailleur de fonds, ect…</t>
  </si>
  <si>
    <t xml:space="preserve">Mettre en place un système du contrôle interne solide et anti-fraude </t>
  </si>
  <si>
    <r>
      <rPr>
        <sz val="8"/>
        <color rgb="FFFF0000"/>
        <rFont val="Times New Roman"/>
        <family val="1"/>
      </rPr>
      <t>*</t>
    </r>
    <r>
      <rPr>
        <sz val="8"/>
        <rFont val="Times New Roman"/>
        <family val="1"/>
      </rPr>
      <t xml:space="preserve">Sensibilisation des acteurs du projet à la politique anti-fraude et corruption en adaptant une bonne aproche de supervision et de contrôle 
</t>
    </r>
    <r>
      <rPr>
        <sz val="8"/>
        <color rgb="FFFF0000"/>
        <rFont val="Times New Roman"/>
        <family val="1"/>
      </rPr>
      <t>*</t>
    </r>
    <r>
      <rPr>
        <sz val="8"/>
        <rFont val="Times New Roman"/>
        <family val="1"/>
      </rPr>
      <t xml:space="preserve">Visites inopinées de contrôle dans les pays du projet
</t>
    </r>
    <r>
      <rPr>
        <sz val="8"/>
        <color rgb="FFFF0000"/>
        <rFont val="Times New Roman"/>
        <family val="1"/>
      </rPr>
      <t>*</t>
    </r>
    <r>
      <rPr>
        <sz val="8"/>
        <rFont val="Times New Roman"/>
        <family val="1"/>
      </rPr>
      <t xml:space="preserve">Affichage de messages anti-corruption dans les bureau pays et les lieux des activités pour informer toute personne des coordonnées pertinentes pour signaler tout fait suspect
</t>
    </r>
    <r>
      <rPr>
        <sz val="8"/>
        <color rgb="FFFF0000"/>
        <rFont val="Times New Roman"/>
        <family val="1"/>
      </rPr>
      <t>*</t>
    </r>
    <r>
      <rPr>
        <sz val="8"/>
        <rFont val="Times New Roman"/>
        <family val="1"/>
      </rPr>
      <t xml:space="preserve">Contrôle  indépendant (PRA ou Audit de la DDC) </t>
    </r>
  </si>
  <si>
    <t>Nombre de cas de fraudes et corruption</t>
  </si>
  <si>
    <t>Risque de partenariat : Faiblesse de la gestion des activités, manque de compétance pour la gestion opérationnelle, dépassement des délais de reporting, ect …</t>
  </si>
  <si>
    <t>R19</t>
  </si>
  <si>
    <t xml:space="preserve">Objectifs non atteints et résultat non satisfaisant , ralentissement des activités </t>
  </si>
  <si>
    <t>Organisation contractuelle/UMO</t>
  </si>
  <si>
    <t xml:space="preserve">Suivi des partenaires , accompagnement , renforcement des compétances </t>
  </si>
  <si>
    <r>
      <rPr>
        <sz val="8"/>
        <color rgb="FFFF0000"/>
        <rFont val="Times New Roman"/>
        <family val="1"/>
      </rPr>
      <t>*</t>
    </r>
    <r>
      <rPr>
        <sz val="8"/>
        <rFont val="Times New Roman"/>
        <family val="1"/>
      </rPr>
      <t xml:space="preserve">Accompagner les partenaires pour améliorer la gestion opérationnelle et renforcer les compétences
</t>
    </r>
    <r>
      <rPr>
        <sz val="8"/>
        <color rgb="FFFF0000"/>
        <rFont val="Times New Roman"/>
        <family val="1"/>
      </rPr>
      <t>*</t>
    </r>
    <r>
      <rPr>
        <sz val="8"/>
        <rFont val="Times New Roman"/>
        <family val="1"/>
      </rPr>
      <t xml:space="preserve">Assurer la communication en cas des problèmes pour surmonter les difficultés
</t>
    </r>
    <r>
      <rPr>
        <sz val="8"/>
        <color rgb="FFFF0000"/>
        <rFont val="Times New Roman"/>
        <family val="1"/>
      </rPr>
      <t>*</t>
    </r>
    <r>
      <rPr>
        <sz val="8"/>
        <rFont val="Times New Roman"/>
        <family val="1"/>
      </rPr>
      <t xml:space="preserve">Communiquer les partenaires le document du projet qui défini les termes et les deadline de reporting 
</t>
    </r>
    <r>
      <rPr>
        <sz val="8"/>
        <color rgb="FFFF0000"/>
        <rFont val="Times New Roman"/>
        <family val="1"/>
      </rPr>
      <t>*</t>
    </r>
    <r>
      <rPr>
        <sz val="8"/>
        <rFont val="Times New Roman"/>
        <family val="1"/>
      </rPr>
      <t xml:space="preserve">Exploitation des trvaux MEAL pour évaluer les activités </t>
    </r>
  </si>
  <si>
    <t xml:space="preserve">Nombre de dépassement des délais de reporting 
Nombre de réclamation à propos de la qualité des rapports 
Nombre des activités en retard d'exécusion 
Qualité des activités </t>
  </si>
  <si>
    <t>Conflit entre les acteurs du projet</t>
  </si>
  <si>
    <t>entre partenaires, soutraitants, bénéficiaires,...</t>
  </si>
  <si>
    <t>R20</t>
  </si>
  <si>
    <t xml:space="preserve">Ralentir les activités et/ou échec du  projet </t>
  </si>
  <si>
    <t>Apaiser les tensions au plus vite 
Tenter de limiter les conflits dans le projet 
Prévenir, plutôt que guérir</t>
  </si>
  <si>
    <r>
      <rPr>
        <sz val="8"/>
        <color rgb="FFFF0000"/>
        <rFont val="Times New Roman"/>
        <family val="1"/>
      </rPr>
      <t>*</t>
    </r>
    <r>
      <rPr>
        <sz val="8"/>
        <rFont val="Times New Roman"/>
        <family val="1"/>
      </rPr>
      <t xml:space="preserve">Instaurer un système des plaintes 
</t>
    </r>
    <r>
      <rPr>
        <sz val="8"/>
        <color rgb="FFFF0000"/>
        <rFont val="Times New Roman"/>
        <family val="1"/>
      </rPr>
      <t>*</t>
    </r>
    <r>
      <rPr>
        <sz val="8"/>
        <rFont val="Times New Roman"/>
        <family val="1"/>
      </rPr>
      <t xml:space="preserve">Communiquez avec les acteurs concernés
</t>
    </r>
    <r>
      <rPr>
        <sz val="8"/>
        <color rgb="FFFF0000"/>
        <rFont val="Times New Roman"/>
        <family val="1"/>
      </rPr>
      <t>*</t>
    </r>
    <r>
      <rPr>
        <sz val="8"/>
        <rFont val="Times New Roman"/>
        <family val="1"/>
      </rPr>
      <t xml:space="preserve">Améliorez la cohésion des acteurs
</t>
    </r>
    <r>
      <rPr>
        <sz val="8"/>
        <color rgb="FFFF0000"/>
        <rFont val="Times New Roman"/>
        <family val="1"/>
      </rPr>
      <t>*</t>
    </r>
    <r>
      <rPr>
        <sz val="8"/>
        <rFont val="Times New Roman"/>
        <family val="1"/>
      </rPr>
      <t xml:space="preserve">Apportez une solution de manière rapide
</t>
    </r>
    <r>
      <rPr>
        <sz val="8"/>
        <color rgb="FFFF0000"/>
        <rFont val="Times New Roman"/>
        <family val="1"/>
      </rPr>
      <t>*</t>
    </r>
    <r>
      <rPr>
        <sz val="8"/>
        <rFont val="Times New Roman"/>
        <family val="1"/>
      </rPr>
      <t xml:space="preserve">Sensibilisation pour lutter contre les conflits entre les acteurs du projet et qu'on est une seule équipe
</t>
    </r>
  </si>
  <si>
    <t>Nombre des reclamations reçues</t>
  </si>
  <si>
    <t xml:space="preserve">Risque de conservation et d’archivage </t>
  </si>
  <si>
    <t>L'archivage présente à la fois un risque opérationnel et un risque de non-conformité par rapport au non respect de l'obligation de conservation des documents, risque dévacuation dans certains pays vivant une instabilité socio-économique (une mesure de mitigation de risque : digitalisation de l'information et les flux d'échange)</t>
  </si>
  <si>
    <t>R21</t>
  </si>
  <si>
    <t xml:space="preserve">Chaque bureau pays </t>
  </si>
  <si>
    <t xml:space="preserve">Veille continue sur la conservation et l'archivage des documents du projet, </t>
  </si>
  <si>
    <r>
      <rPr>
        <sz val="8"/>
        <color rgb="FFFF0000"/>
        <rFont val="Times New Roman"/>
        <family val="1"/>
      </rPr>
      <t>*</t>
    </r>
    <r>
      <rPr>
        <sz val="8"/>
        <rFont val="Times New Roman"/>
        <family val="1"/>
      </rPr>
      <t xml:space="preserve">Le manuel de procédure décrit les régles et les conditions d'archivage et conservation des documents
</t>
    </r>
    <r>
      <rPr>
        <sz val="8"/>
        <color rgb="FFFF0000"/>
        <rFont val="Times New Roman"/>
        <family val="1"/>
      </rPr>
      <t>*</t>
    </r>
    <r>
      <rPr>
        <sz val="8"/>
        <rFont val="Times New Roman"/>
        <family val="1"/>
      </rPr>
      <t xml:space="preserve">Le projet procède à la digitalisation des données: tous les documents sont scannés et envoyés par mail à l'UMO, utilisation de SharePoint
</t>
    </r>
    <r>
      <rPr>
        <sz val="8"/>
        <color rgb="FFFF0000"/>
        <rFont val="Times New Roman"/>
        <family val="1"/>
      </rPr>
      <t>*</t>
    </r>
    <r>
      <rPr>
        <sz val="8"/>
        <rFont val="Times New Roman"/>
        <family val="1"/>
      </rPr>
      <t>Planifier des missions sur l'archivage et la conservation des documents dans le plan d'audit annuel</t>
    </r>
  </si>
  <si>
    <t>Nombre des incidents/reclamations sur la perte des données</t>
  </si>
  <si>
    <t>Gestion à distance et manque d'accès physique</t>
  </si>
  <si>
    <t xml:space="preserve">vu que le projet est géré à distance, et/ou l'instabilité des pays et l'insécurité qui limite les déplacements </t>
  </si>
  <si>
    <t>R22</t>
  </si>
  <si>
    <t>difficulté à l'obtention de l'information au temps opportun, non visibilité sur les activités</t>
  </si>
  <si>
    <t xml:space="preserve">Amélioration continue de la gestion à distance au sein du projet </t>
  </si>
  <si>
    <r>
      <rPr>
        <sz val="8"/>
        <color rgb="FFFF0000"/>
        <rFont val="Times New Roman"/>
        <family val="1"/>
      </rPr>
      <t>*</t>
    </r>
    <r>
      <rPr>
        <sz val="8"/>
        <rFont val="Times New Roman"/>
        <family val="1"/>
      </rPr>
      <t xml:space="preserve">Le projet procède à la digitalisation des données: tous les documents sont scannés et envoyés par mail à l'UMO, utilisation de SharePoint
</t>
    </r>
    <r>
      <rPr>
        <sz val="8"/>
        <color rgb="FFFF0000"/>
        <rFont val="Times New Roman"/>
        <family val="1"/>
      </rPr>
      <t>*</t>
    </r>
    <r>
      <rPr>
        <sz val="8"/>
        <rFont val="Times New Roman"/>
        <family val="1"/>
      </rPr>
      <t xml:space="preserve">Planifier des réuinons hebdomadaires/mensuelle/ bimensuelle/trimestrielle
</t>
    </r>
    <r>
      <rPr>
        <sz val="8"/>
        <color rgb="FFFF0000"/>
        <rFont val="Times New Roman"/>
        <family val="1"/>
      </rPr>
      <t>*</t>
    </r>
    <r>
      <rPr>
        <sz val="8"/>
        <rFont val="Times New Roman"/>
        <family val="1"/>
      </rPr>
      <t xml:space="preserve">Organiser des missions sur terrain par la CDP, RAF ,Auditeur interne, Meal, ect... </t>
    </r>
  </si>
  <si>
    <t xml:space="preserve">Nombre des réunions tenues, Nombre des missions sur Terrain </t>
  </si>
  <si>
    <t>Dommages aux actifs physiques.</t>
  </si>
  <si>
    <t>incendie, vol,détournement…</t>
  </si>
  <si>
    <t>R23</t>
  </si>
  <si>
    <t xml:space="preserve">Perte des fonds du projet , charges supplémentaires non budgetisées , perturbation au niveau du budget et/ou incapacité de financier les actifs endommagés de nouveau </t>
  </si>
  <si>
    <t>Risque culturel et incluant genre et inclusion sociale</t>
  </si>
  <si>
    <t>R24</t>
  </si>
  <si>
    <t>Défaillances fiduciaires (c'est-à-dire que les fonds ne sont pas utilisés aux fins prévues)</t>
  </si>
  <si>
    <t>R25</t>
  </si>
  <si>
    <t>Le processus de closing : Dépassement des delais de reporting et/ou mauvaise qualité des rapports financiers et narratifs</t>
  </si>
  <si>
    <t>R26</t>
  </si>
  <si>
    <t xml:space="preserve">Faible protection des données personnelles des bénéficiaires </t>
  </si>
  <si>
    <t>R27</t>
  </si>
  <si>
    <t>Méfiance des parties prenantes/partenaires en raison de mécanismes de coordination et de communication peu optimaux.</t>
  </si>
  <si>
    <t>R28</t>
  </si>
  <si>
    <t>R29</t>
  </si>
  <si>
    <r>
      <t>Risque de réalisation de faible qualité, (due au nombre reduit</t>
    </r>
    <r>
      <rPr>
        <sz val="8"/>
        <color theme="8" tint="-0.499984740745262"/>
        <rFont val="Times New Roman"/>
        <family val="1"/>
      </rPr>
      <t xml:space="preserve"> </t>
    </r>
    <r>
      <rPr>
        <sz val="8"/>
        <color theme="1" tint="4.9989318521683403E-2"/>
        <rFont val="Times New Roman"/>
        <family val="1"/>
      </rPr>
      <t>des partenaires et de leurs ressources humaines)</t>
    </r>
  </si>
  <si>
    <t>R30</t>
  </si>
  <si>
    <r>
      <t xml:space="preserve">Risques liés au Potentiel Humain 
</t>
    </r>
    <r>
      <rPr>
        <b/>
        <sz val="8"/>
        <rFont val="Calibri"/>
        <family val="2"/>
        <scheme val="minor"/>
      </rPr>
      <t>(personnel travaillant sur le projet de trois organisations)</t>
    </r>
  </si>
  <si>
    <t xml:space="preserve">Risques physiques dus à l'insécurité </t>
  </si>
  <si>
    <t>R31</t>
  </si>
  <si>
    <t xml:space="preserve">Les Fraudes/ Corruptions et malveillance des collaborateurs </t>
  </si>
  <si>
    <t>R32</t>
  </si>
  <si>
    <t xml:space="preserve">Absence d’un plan pour la gestion des absences et des remplacements imprévus ou en cas d'urgence </t>
  </si>
  <si>
    <t>R33</t>
  </si>
  <si>
    <t xml:space="preserve">conflit d'intérêt entre le personnel du projet </t>
  </si>
  <si>
    <t>R34</t>
  </si>
  <si>
    <t xml:space="preserve">La dilution de l'identité régionale du projet </t>
  </si>
  <si>
    <t>Non respect des normes reglementaires des trois organisations ( code de conduite / code protection d'enfanace /fraude ....)</t>
  </si>
  <si>
    <t>R35</t>
  </si>
  <si>
    <t>Turnover de personnel ( notamment au niveau des postes clés )</t>
  </si>
  <si>
    <t>R36</t>
  </si>
  <si>
    <t xml:space="preserve">Risques financiers </t>
  </si>
  <si>
    <t xml:space="preserve">Repture de contrat : Risque de liquidité : Cessation/Détérioration de la capacité de financement de projet </t>
  </si>
  <si>
    <t>Devoir arrêter son activité du jour au lendemain, devoir licencier </t>
  </si>
  <si>
    <t>R37</t>
  </si>
  <si>
    <t>Ne plus savoir où on en est, ne plus avoir le contrôle sur les comptes.</t>
  </si>
  <si>
    <t>R38</t>
  </si>
  <si>
    <t>Non respect ou dépassement du budget (sur ou sous consommation)</t>
  </si>
  <si>
    <t>R39</t>
  </si>
  <si>
    <t xml:space="preserve">Risque de la non récupération de la TVA </t>
  </si>
  <si>
    <t xml:space="preserve">Non-obtention de la certificat d'exonération de la TVA  </t>
  </si>
  <si>
    <t>R40</t>
  </si>
  <si>
    <t xml:space="preserve">Blocage de transfert monétaire entre les bureaux pays </t>
  </si>
  <si>
    <t>R41</t>
  </si>
  <si>
    <t xml:space="preserve">Risque de taux de change </t>
  </si>
  <si>
    <t>R42</t>
  </si>
  <si>
    <t>Mauvaise gestion financière (utilisation des fonds non optimale)</t>
  </si>
  <si>
    <t>R43</t>
  </si>
  <si>
    <t>Risques liés aux systèmes d'information et la sécurité SI</t>
  </si>
  <si>
    <t>Faible protection des données du système d'information</t>
  </si>
  <si>
    <t>R44</t>
  </si>
  <si>
    <t>R45</t>
  </si>
  <si>
    <t>R46</t>
  </si>
  <si>
    <t>R47</t>
  </si>
  <si>
    <t>Sécutité</t>
  </si>
  <si>
    <t>Risques physiques dus à l'insécurité : personnel du projet, partenaires, bénévoles, bénéficiaires</t>
  </si>
  <si>
    <t>Risque sur les biens du projet</t>
  </si>
  <si>
    <t xml:space="preserve">Une harmonisation de faible qualité pour la gestion des crises de la sécurité dans les trois organisations </t>
  </si>
  <si>
    <t>R50</t>
  </si>
  <si>
    <t>Risque de réputation</t>
  </si>
  <si>
    <t xml:space="preserve">Le risque de réputation correspond à l'impact que peut avoir une erreur de gestion sur l'image d'une organisation : impact sur l'image du projet et le bailleur des fonds </t>
  </si>
  <si>
    <t>R51</t>
  </si>
  <si>
    <t>Communiction externe non maîtrisée ou insuffisante  dans de l'environnement là où le projet fonctionne</t>
  </si>
  <si>
    <t>R52</t>
  </si>
  <si>
    <t>Menace de la communiction externe ( journaux , réseau sociaux, de bouche-à-oreille, Radios, TV)</t>
  </si>
  <si>
    <t>R53</t>
  </si>
  <si>
    <t>Risques Externes</t>
  </si>
  <si>
    <t>Instanbilité des pays cibles, crise socio-économique</t>
  </si>
  <si>
    <t>R54</t>
  </si>
  <si>
    <t>La crise sanitaire (exemple :Covid -19)</t>
  </si>
  <si>
    <t>R55</t>
  </si>
  <si>
    <t>R56</t>
  </si>
  <si>
    <t>Lourdeur et complexité des procedures avec les organismes étatiques des pays cibles</t>
  </si>
  <si>
    <t>R57</t>
  </si>
  <si>
    <t>Crise humanitaire exemple : famine</t>
  </si>
  <si>
    <t>Risques climatiques et autres risques environnementaux</t>
  </si>
  <si>
    <t xml:space="preserve"> Risque sur la mise en œuvre de projet</t>
  </si>
  <si>
    <t>Carte de l'intensité des risques</t>
  </si>
  <si>
    <t xml:space="preserve">Impact </t>
  </si>
  <si>
    <t>Probabilié</t>
  </si>
  <si>
    <t xml:space="preserve">Non significatif </t>
  </si>
  <si>
    <t>Mineur</t>
  </si>
  <si>
    <t>Modéré</t>
  </si>
  <si>
    <t>Sérieux</t>
  </si>
  <si>
    <t>Catastrophique</t>
  </si>
  <si>
    <t>Niveau de criticité</t>
  </si>
  <si>
    <t>Produit de la gravité par l'occurrence</t>
  </si>
  <si>
    <t xml:space="preserve"> les degrés d'impact</t>
  </si>
  <si>
    <t>acceptabilité des risques</t>
  </si>
  <si>
    <t xml:space="preserve">Certaine </t>
  </si>
  <si>
    <t>Elevé</t>
  </si>
  <si>
    <t>Critique</t>
  </si>
  <si>
    <t>Niveau 1</t>
  </si>
  <si>
    <t>[1-4]</t>
  </si>
  <si>
    <t>Risque faible</t>
  </si>
  <si>
    <t>Le risque a peu de chance de se produire ;</t>
  </si>
  <si>
    <t>risque considéré acceptable (actions de priorité 4)</t>
  </si>
  <si>
    <t>Probable</t>
  </si>
  <si>
    <t>Faible</t>
  </si>
  <si>
    <t>Niveau2</t>
  </si>
  <si>
    <t>[5-9]</t>
  </si>
  <si>
    <t>Risque modérée</t>
  </si>
  <si>
    <t>Le risque est possible de se produire , sans avoir un grand impact sur le projet  ;</t>
  </si>
  <si>
    <t>risque considéré tolérable sous contrôle (actions de priorité 3)</t>
  </si>
  <si>
    <t xml:space="preserve">Possible </t>
  </si>
  <si>
    <t>Niveau 3</t>
  </si>
  <si>
    <t>[10-15]</t>
  </si>
  <si>
    <t>Risque élevé</t>
  </si>
  <si>
    <t>Le risque peut ralentir le projet</t>
  </si>
  <si>
    <t>risque considéré sérieux sous contrôle (actions de priorité 2)</t>
  </si>
  <si>
    <t>Improbable</t>
  </si>
  <si>
    <t>Niveau 4</t>
  </si>
  <si>
    <t>[16-25]</t>
  </si>
  <si>
    <t>Risque critique</t>
  </si>
  <si>
    <t>Le risque met le projet en péril.</t>
  </si>
  <si>
    <t>risque considéré inacceptable (actions de priorité 1)</t>
  </si>
  <si>
    <t xml:space="preserve">Rare </t>
  </si>
  <si>
    <t>2</t>
  </si>
  <si>
    <t>3</t>
  </si>
  <si>
    <t>5</t>
  </si>
  <si>
    <t>Probabilité d'occurrence</t>
  </si>
  <si>
    <t xml:space="preserve">Évènement attendu dans la plupart des cas </t>
  </si>
  <si>
    <t>Un ou plusieurs cas par semaine</t>
  </si>
  <si>
    <t>Fréquence très forte</t>
  </si>
  <si>
    <t xml:space="preserve">Évènement probable dans la plupart des cas </t>
  </si>
  <si>
    <t>Un ou plusieurs cas par mois</t>
  </si>
  <si>
    <t>Fréquence forte</t>
  </si>
  <si>
    <t>Évènement devant se produire à un moment donné</t>
  </si>
  <si>
    <t>Un ou plusieurs cas par trimestre</t>
  </si>
  <si>
    <t>Fréquence modérée</t>
  </si>
  <si>
    <t>Événement risquant de se produire à un moment donné</t>
  </si>
  <si>
    <t>Un ou plusieurs cas par semestre</t>
  </si>
  <si>
    <t>Fréquence faible</t>
  </si>
  <si>
    <t xml:space="preserve">Événement risquant de se produire uniquement dans des cas exceptionnels </t>
  </si>
  <si>
    <t>Un ou plusieurs cas par année</t>
  </si>
  <si>
    <t>Fréquence très faible</t>
  </si>
  <si>
    <t>1à4</t>
  </si>
  <si>
    <t>FAIBLE</t>
  </si>
  <si>
    <t>5à8</t>
  </si>
  <si>
    <t>moderé</t>
  </si>
  <si>
    <t>9à 12</t>
  </si>
  <si>
    <t>élevé</t>
  </si>
  <si>
    <t>13à25</t>
  </si>
  <si>
    <t>_x0001_ Trois degrés de criticité sont définis :
_x0001_ Ils correspondent à des niveaux différents d’acceptabilité des risques
criticité faible = risque considéré acceptable (
actions de priorité 3)
criticité modérée = risque considéré tolérable sous contrôle (
actions de
priorité 2)
criticité forte = risque considéré inacceptable (
actions de priorité 1)</t>
  </si>
  <si>
    <t>À l'intérieur de cette matrice 5*5, il faut préciser les degrés d'impact qui sont indiqués par des couleurs du vert au rouge et par une échelle évaluée de 1 à 25 :</t>
  </si>
  <si>
    <t>Faible de 1 à 6 : Le risque a peu de chance de se produire ;</t>
  </si>
  <si>
    <t>Moyen de 7 à 12 : Le risque peut ralentir le projet ;</t>
  </si>
  <si>
    <t>Élevé de 13 à 25 : Le risque met le projet en péril.</t>
  </si>
  <si>
    <t>Risque Inhérent (avant contrôle)</t>
  </si>
  <si>
    <t>Risque Résiduel (après contrôle )</t>
  </si>
  <si>
    <t>Last update: 2022</t>
  </si>
  <si>
    <t xml:space="preserve">RISK MANAGEMENT TEMPLATE -- RISK REGISTER </t>
  </si>
  <si>
    <t xml:space="preserve">Étape 1. Évaluez le risque	</t>
  </si>
  <si>
    <t>Responsabilité (préciser)</t>
  </si>
  <si>
    <t xml:space="preserve">Étape 2. Hiérarchiser les risques sans gestion des risques en place </t>
  </si>
  <si>
    <t>Étape 3. Mesure de gestion</t>
  </si>
  <si>
    <t xml:space="preserve">Étape 4. Mettre en œuvre la gestion des risques 	</t>
  </si>
  <si>
    <t>Step 4. Implement Controls</t>
  </si>
  <si>
    <t xml:space="preserve">Étape 5. Réévaluation et mise à jour des risques       		</t>
  </si>
  <si>
    <t>Num.</t>
  </si>
  <si>
    <t>Risque
Qu'est-ce qui peut mal se passer ?</t>
  </si>
  <si>
    <t xml:space="preserve">Conséquences/impacts prévus/attendus (par exemple, rotation des partenaires, mécontentement des clients/partenaires, occasions manquées, réputation ternie, échec/retard de l'intervention/du programme, perte financière, etc.)      </t>
  </si>
  <si>
    <t xml:space="preserve">Interne </t>
  </si>
  <si>
    <t>Externe : en dehors du programme</t>
  </si>
  <si>
    <t>Probabilité
(1-5)</t>
  </si>
  <si>
    <t>Impact
(1-5)</t>
  </si>
  <si>
    <t>Cote globale de risque avant contrôle : Certaine-insignifiante (CI), Certaine-mineure (CMi), Certaine-modérée (CMo), Certaine-sérieuse (CSe), Certaine-catastrophique (CC), Probable-insignifiante (LSi), Probable-mineure (LMi), Probable-modérée (LMo), Probable-sérieuse (LSe), Probable-catastrophique (LC), Possible-insignifiante (PI), Possible-mineure (PMi), Possible-Modéré (PMo), Possible-Sérieux (PSe), Possible-Catastrophique (PC), Improbable-Insignifiant (UI), Improbable-Mineur (UMi), Improbable-Modéré (UMo), Improbable-Sérieux (USe), Improbable-Catastrophique (UC), Rare-Insignifiant (RI), Rare-Mineur (RMi), Rare-Modéré (RMo), Rare-Sérieux (RSe), Rare-Catastrophique (RC)</t>
  </si>
  <si>
    <t xml:space="preserve">Règles/procédures, formation, supervision (à distance, en personne, par un tiers), exclusion, substitution, réévaluation, (re)conception du système. </t>
  </si>
  <si>
    <t>Mise en œuvre :_x000D_
ÉVITER_x000D_
TRANSFERT_x000D_
MITIGER_x000D_
ACCEPTER</t>
  </si>
  <si>
    <t>Description</t>
  </si>
  <si>
    <r>
      <t xml:space="preserve">Mitigation Plan Description
</t>
    </r>
    <r>
      <rPr>
        <b/>
        <i/>
        <sz val="8"/>
        <color indexed="8"/>
        <rFont val="Arial"/>
        <family val="2"/>
      </rPr>
      <t>What will we do to prevent it?</t>
    </r>
  </si>
  <si>
    <t>"Probabilité
(1-5)"</t>
  </si>
  <si>
    <t>"Impact
(1-5)"</t>
  </si>
  <si>
    <t>Évaluation du risque avec la direction : Certain-Insignifiant (CI), Certain-Minor (CMi), Certain-Modéré (CMo), Certain-Sérieux (CSe), Certain-Catastrophique (CC), Probable-Insignifiant (LSi), Probable-Minor (LMi), Probable-Modéré (LMo), Probable-Sérieux (LSe), Probable-Catastrophique (LC), Possible-Insignifiant (PI), Possible-Minor (PMi), Possible-Modéré (PMo), Possible-Sérieux (PSe), Possible-Catastrophique (PC), Improbable-Insignifiant (UI), Improbable-Mineur (UMi), Improbable-Modéré (UMo), Improbable-Sérieux (USe), Improbable-Catastrophique (UC), Rare-Insignifiant (RI), Rare-Mineur (RMi), Rare-Modéré (RMo), Rare-Sérieux (RSe), Rare-Catastrophique (RC)</t>
  </si>
  <si>
    <t xml:space="preserve"> Plan d'action_x000D_
Que ferons-nous si cela se produit ? Elaborer l'étape 3 et l'étape 4 </t>
  </si>
  <si>
    <t>Responsabilité &lt;insérer le titre / le nom / les initiales&gt;.</t>
  </si>
  <si>
    <t xml:space="preserve">Contextuel 	</t>
  </si>
  <si>
    <t>A</t>
  </si>
  <si>
    <t>Faible absorption financière (utilisation des fonds)</t>
  </si>
  <si>
    <t xml:space="preserve">Crise économique </t>
  </si>
  <si>
    <t>Risques climatiques et autres risques environnementaux compromettant la durabilité des interventions</t>
  </si>
  <si>
    <t>Détérioration des normes et valeurs sociales (par exemple, l'intolérance)</t>
  </si>
  <si>
    <t xml:space="preserve">Crise humanitaire </t>
  </si>
  <si>
    <t>Inertie politique/administrative</t>
  </si>
  <si>
    <t>Programmatique</t>
  </si>
  <si>
    <t>B</t>
  </si>
  <si>
    <t>Distorsion et affaiblissement de l'appropriation locale</t>
  </si>
  <si>
    <t xml:space="preserve"> </t>
  </si>
  <si>
    <t>Aggravation des tensions sociales</t>
  </si>
  <si>
    <t xml:space="preserve">Impact négatif sur l'environnement et le changement climatique </t>
  </si>
  <si>
    <t xml:space="preserve">Inégalités économiques accrues </t>
  </si>
  <si>
    <t>Gestion à distance et manque d'accès physique en raison de la sécurité ou d'autres risques</t>
  </si>
  <si>
    <t xml:space="preserve">Mise en place inadéquate &amp; dépendance excessive vis-à-vis des partenaires &amp; réalisations de faible qualité </t>
  </si>
  <si>
    <t>Mauvaise adéquation entre le programme et les besoins locaux</t>
  </si>
  <si>
    <t>Interventions étendues et fragmentées - risque de dérapage.</t>
  </si>
  <si>
    <t xml:space="preserve">Institutionnel 	</t>
  </si>
  <si>
    <t>Corruption/fuite financière (violation de l'accord)</t>
  </si>
  <si>
    <t xml:space="preserve">Risque de réputation et risque juridique </t>
  </si>
  <si>
    <t>Violation des lois ou règlements existants des gouvernements nationaux ou des partenaires financiers</t>
  </si>
  <si>
    <t>Plan de gestion des risques</t>
  </si>
  <si>
    <r>
      <t>Cette évaluation des risques couvre</t>
    </r>
    <r>
      <rPr>
        <sz val="11"/>
        <color theme="0" tint="-0.499984740745262"/>
        <rFont val="Arial"/>
        <family val="2"/>
      </rPr>
      <t xml:space="preserve"> &lt;Nom de l'événement&gt; organisé par &lt;Organisation&gt; à &lt;Lieu&gt; le &lt;Date&gt;.</t>
    </r>
  </si>
  <si>
    <t>Évaluation des risques réalisée par :</t>
  </si>
  <si>
    <t>&lt; INSÉRER LE NOM &gt;</t>
  </si>
  <si>
    <t>Date:</t>
  </si>
  <si>
    <t>&lt;DATE&gt;</t>
  </si>
  <si>
    <t>Événement :</t>
  </si>
  <si>
    <t>&lt;NOM DE L'EVENEMENT&gt;</t>
  </si>
  <si>
    <t>Date de l'événement :</t>
  </si>
  <si>
    <t>&lt; EVENEMENT &gt;</t>
  </si>
  <si>
    <t>Lieu de l'événement :</t>
  </si>
  <si>
    <t>&lt; LIEU DE L'ÉVÉNEMENT&gt;</t>
  </si>
  <si>
    <t>Hypothèses d'événements :</t>
  </si>
  <si>
    <t>Toutes les parties prenantes doivent examiner cette évaluation des risques afin de déterminer leur responsabilité et leur capacité à mettre en œuvre les options de traitement.</t>
  </si>
  <si>
    <t>Tous les documents, plans, politiques, procédures, niveaux de personnel, formation et soutien mentionnés et ou requis pour garantir que les traitements sont efficaces comme prévu, seront en place.</t>
  </si>
  <si>
    <t>Toutes les personnes travaillant à la mise en œuvre des traitements proposés le feront au mieux de leurs capacités et aussi bien que l'on peut raisonnablement s'y attendre.</t>
  </si>
  <si>
    <t>Insérer des détails sur toute autre hypothèse</t>
  </si>
  <si>
    <t>Exceptions aux événements :</t>
  </si>
  <si>
    <t>Cette évaluation des risques ne couvre pas les risques associés aux éléments suivants :</t>
  </si>
  <si>
    <t>indiquez tous les éléments inclus dans votre événement (par exemple : sites d'activation, sites médiatiques, marchés, feux d'artifice) qui ne sont pas directement contrôlés ou gérés par votre équipe chargée des événements (le cas échéant)</t>
  </si>
  <si>
    <t>Évaluation des risques revue par :</t>
  </si>
  <si>
    <t>Date :</t>
  </si>
  <si>
    <t>Niveau de risque</t>
  </si>
  <si>
    <t>Risk Description</t>
  </si>
  <si>
    <t>RISQUES EXTRÊMES</t>
  </si>
  <si>
    <t>&lt;Liste des risques extrêmes remarquables&gt;.</t>
  </si>
  <si>
    <t>RISQUES ÉLEVÉS</t>
  </si>
  <si>
    <t>&lt;Liste des risques élevés remarquables&gt;</t>
  </si>
  <si>
    <t xml:space="preserve">RISQUES MOYENS </t>
  </si>
  <si>
    <t>&lt;Liste des risques moyens remarquables&gt;</t>
  </si>
  <si>
    <t>RISQUES FAIBLES</t>
  </si>
  <si>
    <t>&lt;Liste des risques faibles remarquables&gt;</t>
  </si>
  <si>
    <t>Great Australian Bites             
Friday 24th January, 2014 from 5:00 to 21:30 hours.</t>
  </si>
  <si>
    <t>Injury claim against Queensland Government. 
Negative publicity against the DPC.</t>
  </si>
  <si>
    <t>EC</t>
  </si>
  <si>
    <t xml:space="preserve">SBP </t>
  </si>
  <si>
    <t>Medium</t>
  </si>
  <si>
    <t>Administrative</t>
  </si>
  <si>
    <t>Multicultural ticketed event for a nominated number of patrons (500) with Security provided for safety and security. BBQ cooking demonstrations in a relaxed dining experience. Strict adherence to RSA principles reducing the likelihood of Alcohol Fuelled Violence.</t>
  </si>
  <si>
    <t>Low</t>
  </si>
  <si>
    <t>Defer to ABP Security protocols in relation to any incident or emergency at this location.</t>
  </si>
  <si>
    <t>PC, EM</t>
  </si>
  <si>
    <t>ü</t>
  </si>
  <si>
    <t>C</t>
  </si>
  <si>
    <t>Australia Day Festival at Southbank 
Sunday 26th from 10:00 to 19:30 hours.</t>
  </si>
  <si>
    <t>SBP</t>
  </si>
  <si>
    <t>Events Coordination, Department of Premier and Cabinet will partner with venues to provide a program of free  entertainment including: 
- live music 
- art installations
- creative shows and activities</t>
  </si>
  <si>
    <t>Defer to the SBP Security protocols in conjunction with the QPS contingent onsite.</t>
  </si>
  <si>
    <t>D</t>
  </si>
  <si>
    <t>Flag Raising Ceremony                
Sunday 26th from 11:15 to 12:15 hours</t>
  </si>
  <si>
    <t>Security Teams facilitating the Queensland Government personnel.  
Negative publicity against the DPC.</t>
  </si>
  <si>
    <t>ADF, QPS &amp; SBP</t>
  </si>
  <si>
    <t>High</t>
  </si>
  <si>
    <t>Administrative &amp; Engineering</t>
  </si>
  <si>
    <t>Traditional flag raising ceremony - QPS to secure location and provide security with ABP staff. The ADF, Governor General, QLD Premier and other VIP's in attendance.</t>
  </si>
  <si>
    <t>Defer to SBP security protocols. QPS Security details to respond and take Forward Command of any credible threat against the event or a protected person.</t>
  </si>
  <si>
    <t xml:space="preserve">  PC, EM, DEC</t>
  </si>
  <si>
    <t>E</t>
  </si>
  <si>
    <t>21 Gun Salute 
Sunday 26th from 12:00 noon to 12:15 hours.</t>
  </si>
  <si>
    <t xml:space="preserve">ADF </t>
  </si>
  <si>
    <t>Exclusion zones to be erected around gun firing area at Southbank.   Only ADF personnel to operate within the exclusion zone. 
QWPS to maintain an exclusion zone on the Brisbane River.
The EM, QPS and ADF to assemble together and maintain two way radio contact at all times to respond to any breaches of the zone or until the salute has been completed..</t>
  </si>
  <si>
    <t>In the case of a misfire, EC to follow instructions of ADF and EC. EC to liaise with traffic control management and maintain the exclusion zone. If suppliers / vendors cannot produce MSDS, the hazardous material to be removed from site. If injury occurs from a hazardous material, follow instructions listed on the MSDS.</t>
  </si>
  <si>
    <t>PC, EM, DEC</t>
  </si>
  <si>
    <t>H</t>
  </si>
  <si>
    <t>RAAF flypast featuring a FA18 hornet over the South Bank site. 12:00 noon sharp.</t>
  </si>
  <si>
    <t xml:space="preserve">Injury from falling object.     Noise complaints from unsuspecting persons.                                                    Injury claim against ADF and / or Queensland Govt.  </t>
  </si>
  <si>
    <t>RAAF</t>
  </si>
  <si>
    <t>The ADF will manage this process and lead any response to an incident in conjunction with SBP and QPS,</t>
  </si>
  <si>
    <t>Public Address system updating patrons and the public of impending arrival of a jet over head. The ADF handing out ear plugs in the Cultural Forecourt area prior to the fly past.</t>
  </si>
  <si>
    <t>Adverse publicity for Queensland Government and financial loss to the department.</t>
  </si>
  <si>
    <t>Promotional and financial liability to the state.</t>
  </si>
  <si>
    <t>SBP, Suppliers, QPS, ADF</t>
  </si>
  <si>
    <t>Extreme</t>
  </si>
  <si>
    <r>
      <rPr>
        <b/>
        <sz val="8"/>
        <rFont val="Arial"/>
        <family val="2"/>
      </rPr>
      <t>GENERAL/PUBLIC</t>
    </r>
    <r>
      <rPr>
        <sz val="8"/>
        <rFont val="Arial"/>
        <family val="2"/>
      </rPr>
      <t xml:space="preserve">
- Follow processes during planning and onsite. 
- Volunteers required to sign a 'conditions of participation in event' form approved by CALS.
- </t>
    </r>
    <r>
      <rPr>
        <i/>
        <sz val="8"/>
        <rFont val="Arial"/>
        <family val="2"/>
      </rPr>
      <t>The Australia Day Festival is an all ages, alcohol free event</t>
    </r>
    <r>
      <rPr>
        <sz val="8"/>
        <rFont val="Arial"/>
        <family val="2"/>
      </rPr>
      <t xml:space="preserve"> is included on all pre-event signage and promotion. This is also included on all key Festival signage (tri-sigs) installed for the event day.</t>
    </r>
  </si>
  <si>
    <r>
      <rPr>
        <b/>
        <sz val="8"/>
        <rFont val="Arial"/>
        <family val="2"/>
      </rPr>
      <t>GENERAL</t>
    </r>
    <r>
      <rPr>
        <sz val="8"/>
        <rFont val="Arial"/>
        <family val="2"/>
      </rPr>
      <t xml:space="preserve"> 
- Ensure all processes are followed in the planning and delivery of event, and any issues are documented for debrief and post event review.
All participating volunteers required to sign a 'conditions of participation in event' form approved by CALS.
The Australia Day Festival is an all ages, alcohol free event' is included on all pre-event signage. This is also included on all key Festival signage (tri-sigs) installed for the event day.</t>
    </r>
  </si>
  <si>
    <t>Collect all details of the complaint and ensure the complaint is dealt with, followed up and a response is issued, if required. 
Record information in event report for post event review.</t>
  </si>
  <si>
    <t>EM, DEC, MM</t>
  </si>
  <si>
    <r>
      <rPr>
        <b/>
        <sz val="8"/>
        <rFont val="Arial"/>
        <family val="2"/>
      </rPr>
      <t>FLAG RAISING</t>
    </r>
    <r>
      <rPr>
        <sz val="8"/>
        <rFont val="Arial"/>
        <family val="2"/>
      </rPr>
      <t xml:space="preserve"> - A Deed of Indemnity is signed amongst the Commonwealth, State and the SBP to cover liability issues surrounding the gun salute and ceremony elements. </t>
    </r>
  </si>
  <si>
    <t>DPC to complete</t>
  </si>
  <si>
    <r>
      <rPr>
        <b/>
        <sz val="8"/>
        <color rgb="FFFF0000"/>
        <rFont val="Arial"/>
        <family val="2"/>
      </rPr>
      <t>FESTIVAL</t>
    </r>
    <r>
      <rPr>
        <sz val="8"/>
        <color rgb="FFFF0000"/>
        <rFont val="Arial"/>
        <family val="2"/>
      </rPr>
      <t xml:space="preserve">
Public Liability Insurance required and certificates of currency requested from entertainers and workshops.
</t>
    </r>
    <r>
      <rPr>
        <sz val="8"/>
        <color rgb="FF00B050"/>
        <rFont val="Arial"/>
        <family val="2"/>
      </rPr>
      <t xml:space="preserve">- SBP to provide online induction for EC staff. 
- SBP to ensure suppliers review and agree to Work Place Health and Safety manual before working on site. </t>
    </r>
  </si>
  <si>
    <t>Refer any valid complaint to the appropriate department for further action.</t>
  </si>
  <si>
    <t>EM, DEC</t>
  </si>
  <si>
    <t xml:space="preserve">Great Australian Bites </t>
  </si>
  <si>
    <t>Friday 24 January               1700 hours to 2100 hours</t>
  </si>
  <si>
    <t>1 x Stage</t>
  </si>
  <si>
    <t>2 x dressing rooms ( 2 Pagodas)</t>
  </si>
  <si>
    <t>Bar Marquee ( 39 m x 6 m )</t>
  </si>
  <si>
    <t>VIP Bar</t>
  </si>
  <si>
    <t>2 x small Bars</t>
  </si>
  <si>
    <t>Food Stalls x 6 ( 3x3 structures )</t>
  </si>
  <si>
    <t>MMM Activation</t>
  </si>
  <si>
    <t>2 x 6 m x 3 m Portable Toilet Suites</t>
  </si>
  <si>
    <t>1 Video Screen</t>
  </si>
  <si>
    <t>Sirromet Tasting Activations</t>
  </si>
  <si>
    <t>1 ATM</t>
  </si>
  <si>
    <t>Food Demonstration Area</t>
  </si>
  <si>
    <t>Australia Day Festival</t>
  </si>
  <si>
    <t>Sunday 26 January 2014   10:00 hours to 19:30 hours</t>
  </si>
  <si>
    <t>Main Stage - Southbank Forecourt</t>
  </si>
  <si>
    <t>Conservatorium Stage</t>
  </si>
  <si>
    <t>Forest Green Stage</t>
  </si>
  <si>
    <t>Courier mail Piazza - Area</t>
  </si>
  <si>
    <t>Stage - Southbank Forecourt</t>
  </si>
  <si>
    <t>VIP Marquee</t>
  </si>
  <si>
    <t>VIP reception (Pagoda)</t>
  </si>
  <si>
    <t xml:space="preserve">Australia Day Flag Raising Ceremony    </t>
  </si>
  <si>
    <t>Sunday 26 January 2014    11:15 hours to 12:15 hours</t>
  </si>
  <si>
    <t>Dias - Lectern, Flagpole, ADF band</t>
  </si>
  <si>
    <t>VIP Marquee &amp; seated area</t>
  </si>
  <si>
    <t>Guns for a 21 Gun Salute (ADF)</t>
  </si>
  <si>
    <t>Temporary Fencing</t>
  </si>
  <si>
    <t>Banana Bat Installation</t>
  </si>
  <si>
    <t>Mauvaise compréhension des exigences réglementaires liés aux ONG et aux projets à but non lucratifs par les parties prenantes (Consortium et Consortium élargie, équipes de terrain, ..)</t>
  </si>
  <si>
    <t>Direct: impactant directement le projet (exemple : refus du projet par les acteurs étatiques) et/ou  indirect (exemple: conflits entre les acteurs eux même: bloquent et/ou retardent le projet)
Non implication des services étatiques dans l'identification des activités</t>
  </si>
  <si>
    <t xml:space="preserve">un mauvais choix du partenaire impactant l'objectif stratégique du projet / Evaluation non approndie des partenaires locaux </t>
  </si>
  <si>
    <t xml:space="preserve">Faiblesse à tous les niveaux de contrôle, 
L’absence de procédures de contrôle interne sur la séparation des tâches ouvrant la porte à la tentation de fraude puis à la fraude.
faible qualité des données collecté suite à l'insuffisance du contrôle </t>
  </si>
  <si>
    <t xml:space="preserve">Perte des données , non visibilité sur l'historique du projet 
=&gt;  blocage, perte du temps, ralentissement de l'activité 
Entraver le suivi (monitoring) des activités </t>
  </si>
  <si>
    <t xml:space="preserve">Safegarding et do no harm </t>
  </si>
  <si>
    <t>Instabilité politique/troubles/terrorisem  /Restriction de deplacement/voyage</t>
  </si>
  <si>
    <t xml:space="preserve"> La non-compréhension voire une mauvaise compréhension ou encore une compréhension non unifiée par l’équipe de terrain de tout élément du projet EJM ; </t>
  </si>
  <si>
    <t>Non fluidité de la circulation de l'information au temps opportun entre les organisations du projet 
La distance/ L’écart entre les deux niveaux de gestion du projet : stratégique et opérationnel.</t>
  </si>
  <si>
    <t>Non respect/dépassement/ mauvaise compréhension des lois ou règlements existants des gouvernements nationaux ou des partenaires financiers: Risque fiscal &amp; Social.</t>
  </si>
  <si>
    <r>
      <rPr>
        <b/>
        <sz val="11"/>
        <color rgb="FF00B050"/>
        <rFont val="Times New Roman"/>
        <family val="1"/>
      </rPr>
      <t>criticité faible</t>
    </r>
    <r>
      <rPr>
        <sz val="11"/>
        <rFont val="Times New Roman"/>
        <family val="1"/>
      </rPr>
      <t xml:space="preserve"> </t>
    </r>
    <r>
      <rPr>
        <sz val="11"/>
        <color rgb="FF00B050"/>
        <rFont val="Times New Roman"/>
        <family val="1"/>
      </rPr>
      <t xml:space="preserve">= </t>
    </r>
    <r>
      <rPr>
        <sz val="11"/>
        <rFont val="Times New Roman"/>
        <family val="1"/>
      </rPr>
      <t xml:space="preserve">risque considéré acceptable </t>
    </r>
    <r>
      <rPr>
        <b/>
        <sz val="11"/>
        <color rgb="FF00B050"/>
        <rFont val="Times New Roman"/>
        <family val="1"/>
      </rPr>
      <t>( actions de priorité 3)</t>
    </r>
    <r>
      <rPr>
        <sz val="11"/>
        <rFont val="Times New Roman"/>
        <family val="1"/>
      </rPr>
      <t xml:space="preserve">
 </t>
    </r>
  </si>
  <si>
    <r>
      <rPr>
        <b/>
        <sz val="11"/>
        <color rgb="FFFF9933"/>
        <rFont val="Times New Roman"/>
        <family val="1"/>
      </rPr>
      <t>criticité modérée =</t>
    </r>
    <r>
      <rPr>
        <b/>
        <sz val="11"/>
        <rFont val="Times New Roman"/>
        <family val="1"/>
      </rPr>
      <t xml:space="preserve"> </t>
    </r>
    <r>
      <rPr>
        <sz val="11"/>
        <rFont val="Times New Roman"/>
        <family val="1"/>
      </rPr>
      <t xml:space="preserve">risque considéré tolérable sous contrôle </t>
    </r>
    <r>
      <rPr>
        <b/>
        <sz val="11"/>
        <color rgb="FFFF9933"/>
        <rFont val="Times New Roman"/>
        <family val="1"/>
      </rPr>
      <t xml:space="preserve">(
actions de
priorité 2) </t>
    </r>
  </si>
  <si>
    <r>
      <rPr>
        <b/>
        <sz val="11"/>
        <color rgb="FFFF0000"/>
        <rFont val="Times New Roman"/>
        <family val="1"/>
      </rPr>
      <t xml:space="preserve">criticité forte = </t>
    </r>
    <r>
      <rPr>
        <sz val="11"/>
        <rFont val="Times New Roman"/>
        <family val="1"/>
      </rPr>
      <t xml:space="preserve">risque considéré inacceptable </t>
    </r>
    <r>
      <rPr>
        <b/>
        <sz val="11"/>
        <color rgb="FFFF0000"/>
        <rFont val="Times New Roman"/>
        <family val="1"/>
      </rPr>
      <t>(
actions de priorité 1)</t>
    </r>
  </si>
  <si>
    <t xml:space="preserve">Refus du projet/ ralentissement des activités </t>
  </si>
  <si>
    <t xml:space="preserve">Suivi et enregistrement des actifs et mettre des règles pour conserver les bien du projet </t>
  </si>
  <si>
    <t>Nombre des biens endommagés ou disparus</t>
  </si>
  <si>
    <r>
      <rPr>
        <sz val="8"/>
        <color rgb="FFFF0000"/>
        <rFont val="Times New Roman"/>
        <family val="1"/>
      </rPr>
      <t>*</t>
    </r>
    <r>
      <rPr>
        <sz val="8"/>
        <rFont val="Times New Roman"/>
        <family val="1"/>
      </rPr>
      <t xml:space="preserve">Le projet procède à inventraire physique annuel </t>
    </r>
  </si>
  <si>
    <r>
      <rPr>
        <sz val="8"/>
        <color rgb="FFFF0000"/>
        <rFont val="Times New Roman"/>
        <family val="1"/>
      </rPr>
      <t>*</t>
    </r>
    <r>
      <rPr>
        <sz val="8"/>
        <rFont val="Times New Roman"/>
        <family val="1"/>
      </rPr>
      <t>Procéder à la communication permanente entre les acteurs du projet (hebdo, bimensuelle, mensuelle)</t>
    </r>
    <r>
      <rPr>
        <sz val="8"/>
        <color rgb="FFFF0000"/>
        <rFont val="Times New Roman"/>
        <family val="1"/>
      </rPr>
      <t xml:space="preserve">
*</t>
    </r>
    <r>
      <rPr>
        <sz val="8"/>
        <rFont val="Times New Roman"/>
        <family val="1"/>
      </rPr>
      <t>Le projet prévoit une ligne budgetaire pour la question de genre et inclusion sociale</t>
    </r>
    <r>
      <rPr>
        <sz val="8"/>
        <color rgb="FFFF0000"/>
        <rFont val="Times New Roman"/>
        <family val="1"/>
      </rPr>
      <t xml:space="preserve">
*</t>
    </r>
    <r>
      <rPr>
        <sz val="8"/>
        <rFont val="Times New Roman"/>
        <family val="1"/>
      </rPr>
      <t xml:space="preserve">Le projet procède à une etude genre pour chaque pays d'intervention </t>
    </r>
  </si>
  <si>
    <t xml:space="preserve">Etudier la spécificité culturelle de chaque pays ainsi que la question genre au niveau des communautés locales
Tenir une bonne communication entre les différents acteurs du projet </t>
  </si>
  <si>
    <t>Le consortium</t>
  </si>
  <si>
    <t xml:space="preserve">Nombre des constats à propos la question genre et culture </t>
  </si>
  <si>
    <t xml:space="preserve">non concrétisation des objectifs principaux du projet </t>
  </si>
  <si>
    <t xml:space="preserve">Mettre en place un système du contrôle interne solide et un suivi bugetaire permanent </t>
  </si>
  <si>
    <r>
      <rPr>
        <b/>
        <sz val="8"/>
        <color rgb="FFFF0000"/>
        <rFont val="Times New Roman"/>
        <family val="1"/>
      </rPr>
      <t>*</t>
    </r>
    <r>
      <rPr>
        <sz val="8"/>
        <rFont val="Times New Roman"/>
        <family val="1"/>
      </rPr>
      <t xml:space="preserve">Le manuel de procédure prévoit une périodicité pour le contrôle budgetaire : comment, quand, les éléments qui doivent présenter pour le reporting financier
</t>
    </r>
    <r>
      <rPr>
        <b/>
        <sz val="8"/>
        <color rgb="FFFF0000"/>
        <rFont val="Times New Roman"/>
        <family val="1"/>
      </rPr>
      <t>*</t>
    </r>
    <r>
      <rPr>
        <sz val="8"/>
        <rFont val="Times New Roman"/>
        <family val="1"/>
      </rPr>
      <t xml:space="preserve">Un contrôle mis en place par les financiers du bureau pays, et par le RAF de l'UMO Tunis pour la vérification des dépenses et de leur nature par rapport au budget
</t>
    </r>
    <r>
      <rPr>
        <b/>
        <sz val="8"/>
        <color rgb="FFFF0000"/>
        <rFont val="Times New Roman"/>
        <family val="1"/>
      </rPr>
      <t>*</t>
    </r>
    <r>
      <rPr>
        <sz val="8"/>
        <rFont val="Times New Roman"/>
        <family val="1"/>
      </rPr>
      <t xml:space="preserve">Des missions d'audit ponctuelles à mettre en place 
</t>
    </r>
    <r>
      <rPr>
        <b/>
        <sz val="8"/>
        <color rgb="FFFF0000"/>
        <rFont val="Times New Roman"/>
        <family val="1"/>
      </rPr>
      <t>*</t>
    </r>
    <r>
      <rPr>
        <sz val="8"/>
        <rFont val="Times New Roman"/>
        <family val="1"/>
      </rPr>
      <t xml:space="preserve">Les coordinateurs sont tenus de rédiger des rapports sur l'activité du porojet </t>
    </r>
  </si>
  <si>
    <t xml:space="preserve">Nombre des activités réalisées hors objectif du projet </t>
  </si>
  <si>
    <t>Vu que le projet est géré dans plusieurs pays avec différentes cultures.  Risque de conflit ou non-acceptation avec les communautés/partenaires (formels/non-formels).</t>
  </si>
  <si>
    <t xml:space="preserve">Non respect des engagement de reporting envers le bailleur de fonds en terme de délais et de qualité 
Remettre en question le bon fonctionnement et la gestion du projet </t>
  </si>
  <si>
    <t xml:space="preserve">Chaque bureau pays/UMO </t>
  </si>
  <si>
    <t xml:space="preserve">Veiller à sensibiliser les partenaires du projet de l'importance du respect des délais de rapportage
Veiller à la qualité des données </t>
  </si>
  <si>
    <r>
      <rPr>
        <sz val="8"/>
        <color rgb="FFFF0000"/>
        <rFont val="Times New Roman"/>
        <family val="1"/>
      </rPr>
      <t>*</t>
    </r>
    <r>
      <rPr>
        <sz val="8"/>
        <rFont val="Times New Roman"/>
        <family val="1"/>
      </rPr>
      <t xml:space="preserve">Les delais de reporting sont indiqués sur le contrat établi avce la DDC
</t>
    </r>
    <r>
      <rPr>
        <sz val="8"/>
        <color rgb="FFFF0000"/>
        <rFont val="Times New Roman"/>
        <family val="1"/>
      </rPr>
      <t>*</t>
    </r>
    <r>
      <rPr>
        <sz val="8"/>
        <rFont val="Times New Roman"/>
        <family val="1"/>
      </rPr>
      <t xml:space="preserve">Sensibiliser et rappeler les partenaires par les deadlines prévues
</t>
    </r>
    <r>
      <rPr>
        <sz val="8"/>
        <color rgb="FFFF0000"/>
        <rFont val="Times New Roman"/>
        <family val="1"/>
      </rPr>
      <t>*</t>
    </r>
    <r>
      <rPr>
        <sz val="8"/>
        <rFont val="Times New Roman"/>
        <family val="1"/>
      </rPr>
      <t xml:space="preserve">Controler la qualité des données par le RAF
</t>
    </r>
    <r>
      <rPr>
        <sz val="8"/>
        <color rgb="FFFF0000"/>
        <rFont val="Times New Roman"/>
        <family val="1"/>
      </rPr>
      <t>*</t>
    </r>
    <r>
      <rPr>
        <sz val="8"/>
        <rFont val="Times New Roman"/>
        <family val="1"/>
      </rPr>
      <t>Controler la qualité des données avec le responsable MEAL</t>
    </r>
  </si>
  <si>
    <t>Nombre des deadlines dépassées</t>
  </si>
  <si>
    <t xml:space="preserve">Non respect des principes du projet et des normes internationales pour la protection des données personnelles
Mettre en péril la reputation du projet </t>
  </si>
  <si>
    <t xml:space="preserve">Chaque bureau </t>
  </si>
  <si>
    <r>
      <rPr>
        <sz val="8"/>
        <color rgb="FFFF0000"/>
        <rFont val="Times New Roman"/>
        <family val="1"/>
      </rPr>
      <t>*</t>
    </r>
    <r>
      <rPr>
        <sz val="8"/>
        <rFont val="Times New Roman"/>
        <family val="1"/>
      </rPr>
      <t xml:space="preserve">Sensibilisation des personnels, classification des données, protection des supports amovibles, gestion des accès et chiffrement des données, sauvegarde des données, journalisation des événements
</t>
    </r>
    <r>
      <rPr>
        <sz val="8"/>
        <color rgb="FFFF0000"/>
        <rFont val="Times New Roman"/>
        <family val="1"/>
      </rPr>
      <t>*</t>
    </r>
    <r>
      <rPr>
        <sz val="8"/>
        <rFont val="Times New Roman"/>
        <family val="1"/>
      </rPr>
      <t>L'article 7 du contrat du projet stiplule que les données du projet y compris celles relatives aux bénéficiaires doivent être confidentielles</t>
    </r>
  </si>
  <si>
    <t>Standardiser et de renforcer la protection des données personnelles</t>
  </si>
  <si>
    <t xml:space="preserve">Chaque bureau pays/ organisation contractuelle </t>
  </si>
  <si>
    <t>Risque d'abus et exploitation du personnel/volontaires/ collaborateurs et aussi des EJM, risque de ne pas respecter la volenté des bénéficiaires EJM</t>
  </si>
  <si>
    <t xml:space="preserve">Non respect des principes du projet 
Mettre en péril la reputation du projet </t>
  </si>
  <si>
    <r>
      <rPr>
        <b/>
        <sz val="8"/>
        <color rgb="FFFF0000"/>
        <rFont val="Times New Roman"/>
        <family val="1"/>
      </rPr>
      <t>*</t>
    </r>
    <r>
      <rPr>
        <sz val="8"/>
        <rFont val="Times New Roman"/>
        <family val="1"/>
      </rPr>
      <t xml:space="preserve">Veiller au respect des notes, procedures, code de conduite du projet
</t>
    </r>
    <r>
      <rPr>
        <b/>
        <sz val="8"/>
        <color rgb="FFFF0000"/>
        <rFont val="Times New Roman"/>
        <family val="1"/>
      </rPr>
      <t>*</t>
    </r>
    <r>
      <rPr>
        <sz val="8"/>
        <rFont val="Times New Roman"/>
        <family val="1"/>
      </rPr>
      <t>Sensibilisation permanent des principes de sauvegarde, protection et du respect de la volenté des bénéficaiares</t>
    </r>
  </si>
  <si>
    <t xml:space="preserve">Sensibilisation et veille continue sur le respect du principe de la sauvgarde </t>
  </si>
  <si>
    <t xml:space="preserve">Formation </t>
  </si>
  <si>
    <t>Sensibilisation, accompagnement et formation des acteurs du projet</t>
  </si>
  <si>
    <t xml:space="preserve">UMO </t>
  </si>
  <si>
    <t xml:space="preserve">Objectifs non atteints, résultat non satisfaisant et/ou échec du projet </t>
  </si>
  <si>
    <r>
      <rPr>
        <sz val="8"/>
        <color rgb="FFFF0000"/>
        <rFont val="Times New Roman"/>
        <family val="1"/>
      </rPr>
      <t>*</t>
    </r>
    <r>
      <rPr>
        <sz val="8"/>
        <rFont val="Times New Roman"/>
        <family val="1"/>
      </rPr>
      <t xml:space="preserve">Proceder à des sessions de formation et d'appui avec les équipes de terrain afin d'échanger sur les objectifs la réalisation et le retour sur exeprience dans le projet, et éclaircir toute confusion ou mauvaise compréhension  perçus par les acteurs de terrain.
</t>
    </r>
    <r>
      <rPr>
        <sz val="8"/>
        <color rgb="FFFF0000"/>
        <rFont val="Times New Roman"/>
        <family val="1"/>
      </rPr>
      <t>*</t>
    </r>
    <r>
      <rPr>
        <sz val="8"/>
        <rFont val="Times New Roman"/>
        <family val="1"/>
      </rPr>
      <t xml:space="preserve">Des réunions hebdo planifiées avec les coordos </t>
    </r>
  </si>
  <si>
    <t xml:space="preserve">Risque de non acceptation ou mauvaise perception des communautés hôtes du projet vu que les activités prévilège les EJM par rapport aux jeunes et enfants au niveau local </t>
  </si>
  <si>
    <t xml:space="preserve">oragnisation contractuelle /coordos </t>
  </si>
  <si>
    <t>Suivi continu sur la situation et l'évolution des activités dans les pays projet</t>
  </si>
  <si>
    <r>
      <rPr>
        <b/>
        <sz val="8"/>
        <color rgb="FFFF0000"/>
        <rFont val="Times New Roman"/>
        <family val="1"/>
      </rPr>
      <t>*</t>
    </r>
    <r>
      <rPr>
        <sz val="8"/>
        <rFont val="Times New Roman"/>
        <family val="1"/>
      </rPr>
      <t xml:space="preserve">Garder un feedback permanent avec les coordos sur l'évolution de l'activité dans les pays projet ainsi que les proplèmes rencotrés ou éventuels.
</t>
    </r>
    <r>
      <rPr>
        <b/>
        <sz val="8"/>
        <color rgb="FFFF0000"/>
        <rFont val="Times New Roman"/>
        <family val="1"/>
      </rPr>
      <t>*</t>
    </r>
    <r>
      <rPr>
        <sz val="8"/>
        <rFont val="Times New Roman"/>
        <family val="1"/>
      </rPr>
      <t xml:space="preserve">Sappuyer sur les rapports MEAL et Coordos 
</t>
    </r>
    <r>
      <rPr>
        <b/>
        <sz val="8"/>
        <color rgb="FFFF0000"/>
        <rFont val="Times New Roman"/>
        <family val="1"/>
      </rPr>
      <t>*</t>
    </r>
    <r>
      <rPr>
        <sz val="8"/>
        <rFont val="Times New Roman"/>
        <family val="1"/>
      </rPr>
      <t>Tenir des réunions mensuelles avec les coordos</t>
    </r>
  </si>
  <si>
    <t>Mettre en péril la reputation du projet
Ralentissement des activités  
Objectifs non atteints, résultat non satisfaisant</t>
  </si>
  <si>
    <t xml:space="preserve">Veiller à sensibiliser les partenaires du projet de l'importance du respect des contrats conclus en terme de qualité et de réalisation
Veiller à la qualité des données </t>
  </si>
  <si>
    <r>
      <rPr>
        <b/>
        <sz val="8"/>
        <color rgb="FFFF0000"/>
        <rFont val="Times New Roman"/>
        <family val="1"/>
      </rPr>
      <t>*</t>
    </r>
    <r>
      <rPr>
        <sz val="8"/>
        <rFont val="Times New Roman"/>
        <family val="1"/>
      </rPr>
      <t xml:space="preserve">Suivi MEAL
</t>
    </r>
    <r>
      <rPr>
        <b/>
        <sz val="8"/>
        <color rgb="FFFF0000"/>
        <rFont val="Times New Roman"/>
        <family val="1"/>
      </rPr>
      <t>*</t>
    </r>
    <r>
      <rPr>
        <sz val="8"/>
        <rFont val="Times New Roman"/>
        <family val="1"/>
      </rPr>
      <t>Contrôle des activités par les coordos</t>
    </r>
  </si>
  <si>
    <t xml:space="preserve">chaque organisation </t>
  </si>
  <si>
    <t xml:space="preserve">Menace de la sécurité du personnel, nuire au capital huamin du projet, blocage et ralentissement des activités </t>
  </si>
  <si>
    <r>
      <rPr>
        <b/>
        <sz val="8"/>
        <color rgb="FFFF0000"/>
        <rFont val="Times New Roman"/>
        <family val="1"/>
      </rPr>
      <t>*</t>
    </r>
    <r>
      <rPr>
        <sz val="8"/>
        <rFont val="Times New Roman"/>
        <family val="1"/>
      </rPr>
      <t xml:space="preserve">Mettre en place des normes et procédures de sécurité
</t>
    </r>
    <r>
      <rPr>
        <b/>
        <sz val="8"/>
        <color rgb="FFFF0000"/>
        <rFont val="Times New Roman"/>
        <family val="1"/>
      </rPr>
      <t>*</t>
    </r>
    <r>
      <rPr>
        <sz val="8"/>
        <rFont val="Times New Roman"/>
        <family val="1"/>
      </rPr>
      <t xml:space="preserve">Planifier des formations sécurité pour le personnel 
</t>
    </r>
    <r>
      <rPr>
        <b/>
        <sz val="8"/>
        <color rgb="FFFF0000"/>
        <rFont val="Times New Roman"/>
        <family val="1"/>
      </rPr>
      <t>*</t>
    </r>
    <r>
      <rPr>
        <sz val="8"/>
        <rFont val="Times New Roman"/>
        <family val="1"/>
      </rPr>
      <t xml:space="preserve">Avoir un briefing sur la sécurité dans le pays de mission dés l'arrivée de missionnaire </t>
    </r>
  </si>
  <si>
    <t xml:space="preserve">Sensibilisation, formation, application des procedures </t>
  </si>
  <si>
    <t xml:space="preserve">Nombre des incidents sécurité </t>
  </si>
  <si>
    <t xml:space="preserve">chaque organisation /Auditeur interne </t>
  </si>
  <si>
    <t>Risques pour les ressources, la réputation du projet, inéfficacité des 
activitéss et des actions en faveur des bénéficiaires</t>
  </si>
  <si>
    <t xml:space="preserve">Mettre des mesures de prévention et de lutte contre la fraude et la corruption, 
Mettre en place des procédures et des contrôles efficace </t>
  </si>
  <si>
    <t xml:space="preserve">chaque organisation / Auditeur interne </t>
  </si>
  <si>
    <t xml:space="preserve">Nombre des cas de fraude révélés et avérés </t>
  </si>
  <si>
    <t xml:space="preserve">Affaiblissement de la productivité et de la performance du projet dû au retard, 
cela peut affecter les équipes de travail et la motivation générale des autres collaborateurs, travail culmulé non achevé, ralentissement et/ou blocage des activités, </t>
  </si>
  <si>
    <t>chaque organisation/UMO</t>
  </si>
  <si>
    <t xml:space="preserve">Mettre en place un plan pour la gestion des absences et des remplacements imprévus ou en cas d'urgence </t>
  </si>
  <si>
    <r>
      <rPr>
        <b/>
        <sz val="8"/>
        <color rgb="FFFF0000"/>
        <rFont val="Times New Roman"/>
        <family val="1"/>
      </rPr>
      <t>*</t>
    </r>
    <r>
      <rPr>
        <sz val="8"/>
        <rFont val="Times New Roman"/>
        <family val="1"/>
      </rPr>
      <t xml:space="preserve">Une gestion des absences du personnel doit être suivie soigneusement
</t>
    </r>
    <r>
      <rPr>
        <b/>
        <sz val="8"/>
        <color rgb="FFFF0000"/>
        <rFont val="Times New Roman"/>
        <family val="1"/>
      </rPr>
      <t>*</t>
    </r>
    <r>
      <rPr>
        <sz val="8"/>
        <rFont val="Times New Roman"/>
        <family val="1"/>
      </rPr>
      <t xml:space="preserve">La gestion des congés peut se faire de manière simple en indiquant une date limite des demandes.
</t>
    </r>
    <r>
      <rPr>
        <b/>
        <sz val="8"/>
        <color rgb="FFFF0000"/>
        <rFont val="Times New Roman"/>
        <family val="1"/>
      </rPr>
      <t>*</t>
    </r>
    <r>
      <rPr>
        <sz val="8"/>
        <rFont val="Times New Roman"/>
        <family val="1"/>
      </rPr>
      <t xml:space="preserve">Une procédure d'absence est mise en place pour le suivi, avec un contrôle et validation de l'UMO 
</t>
    </r>
    <r>
      <rPr>
        <b/>
        <sz val="8"/>
        <color rgb="FFFF0000"/>
        <rFont val="Times New Roman"/>
        <family val="1"/>
      </rPr>
      <t>*</t>
    </r>
    <r>
      <rPr>
        <sz val="8"/>
        <rFont val="Times New Roman"/>
        <family val="1"/>
      </rPr>
      <t xml:space="preserve">Mettre en place d’un plan pour la gestion des absences et des remplacements imprévus ou en cas d'urgence </t>
    </r>
  </si>
  <si>
    <t xml:space="preserve">Taux d’absentéisme = (Nbr de j ou H pendant une periode donnée)/(Nbr de j ou H en théorie pendant la meme période </t>
  </si>
  <si>
    <t>chaque organisation</t>
  </si>
  <si>
    <t>Mettre en péril la reputation du projet 
Tension élévée entre les collaborateurs 
Impacter négativement l'ambiance et le travail en équipe 
Ralentisssment des activités</t>
  </si>
  <si>
    <t xml:space="preserve">Définir et formaliser la politique de prévention et de gestion des
conflits d’intérêts
Prendre en compte le risque de conflit d’intérêts dans les processus
du consortium et par la suite du projet </t>
  </si>
  <si>
    <r>
      <rPr>
        <b/>
        <sz val="8"/>
        <color rgb="FFFF0000"/>
        <rFont val="Times New Roman"/>
        <family val="1"/>
      </rPr>
      <t>*</t>
    </r>
    <r>
      <rPr>
        <sz val="8"/>
        <rFont val="Times New Roman"/>
        <family val="1"/>
      </rPr>
      <t xml:space="preserve">Mettre en place une note sur la fraude et corruption projet
</t>
    </r>
    <r>
      <rPr>
        <b/>
        <sz val="8"/>
        <color rgb="FFFF0000"/>
        <rFont val="Times New Roman"/>
        <family val="1"/>
      </rPr>
      <t>*</t>
    </r>
    <r>
      <rPr>
        <sz val="8"/>
        <rFont val="Times New Roman"/>
        <family val="1"/>
      </rPr>
      <t xml:space="preserve">Sensibilisation et accompagnement des acteurs du projet dans le but de lutter contre la fraude et la corruption   
</t>
    </r>
    <r>
      <rPr>
        <b/>
        <sz val="8"/>
        <color rgb="FFFF0000"/>
        <rFont val="Times New Roman"/>
        <family val="1"/>
      </rPr>
      <t>*</t>
    </r>
    <r>
      <rPr>
        <sz val="8"/>
        <rFont val="Times New Roman"/>
        <family val="1"/>
      </rPr>
      <t xml:space="preserve">La formation des personnels, 
</t>
    </r>
    <r>
      <rPr>
        <b/>
        <sz val="8"/>
        <color rgb="FFFF0000"/>
        <rFont val="Times New Roman"/>
        <family val="1"/>
      </rPr>
      <t>*</t>
    </r>
    <r>
      <rPr>
        <sz val="8"/>
        <rFont val="Times New Roman"/>
        <family val="1"/>
      </rPr>
      <t xml:space="preserve">L’évaluation des risques
</t>
    </r>
    <r>
      <rPr>
        <b/>
        <sz val="8"/>
        <color rgb="FFFF0000"/>
        <rFont val="Times New Roman"/>
        <family val="1"/>
      </rPr>
      <t>*</t>
    </r>
    <r>
      <rPr>
        <sz val="8"/>
        <rFont val="Times New Roman"/>
        <family val="1"/>
      </rPr>
      <t xml:space="preserve">Renforcer le management et le contrôle interne
</t>
    </r>
    <r>
      <rPr>
        <b/>
        <sz val="8"/>
        <color rgb="FFFF0000"/>
        <rFont val="Times New Roman"/>
        <family val="1"/>
      </rPr>
      <t>*</t>
    </r>
    <r>
      <rPr>
        <sz val="8"/>
        <rFont val="Times New Roman"/>
        <family val="1"/>
      </rPr>
      <t>La gestion et le traitement des cas révélés et avérés</t>
    </r>
  </si>
  <si>
    <t xml:space="preserve">nombre des constats de conflit d'interet relevés </t>
  </si>
  <si>
    <r>
      <rPr>
        <b/>
        <sz val="8"/>
        <color rgb="FFFF0000"/>
        <rFont val="Times New Roman"/>
        <family val="1"/>
      </rPr>
      <t>*</t>
    </r>
    <r>
      <rPr>
        <sz val="8"/>
        <rFont val="Times New Roman"/>
        <family val="1"/>
      </rPr>
      <t xml:space="preserve">Chaque organisation a mis en place une procedure pour lutter contre le conflits d'interet 
</t>
    </r>
    <r>
      <rPr>
        <b/>
        <sz val="8"/>
        <color rgb="FFFF0000"/>
        <rFont val="Times New Roman"/>
        <family val="1"/>
      </rPr>
      <t>*</t>
    </r>
    <r>
      <rPr>
        <sz val="8"/>
        <rFont val="Times New Roman"/>
        <family val="1"/>
      </rPr>
      <t xml:space="preserve">Mettre en place une note sur les conflits d'interet projet 
</t>
    </r>
    <r>
      <rPr>
        <b/>
        <sz val="8"/>
        <color rgb="FFFF0000"/>
        <rFont val="Times New Roman"/>
        <family val="1"/>
      </rPr>
      <t>*</t>
    </r>
    <r>
      <rPr>
        <sz val="8"/>
        <rFont val="Times New Roman"/>
        <family val="1"/>
      </rPr>
      <t>Sensibiliser et former l’ensemble des collaborateurs et acteurs du projet  sur les risques induits par les situations de conflit d’intérêts</t>
    </r>
  </si>
  <si>
    <t xml:space="preserve">Veille continue sur le respect de la stratégie régionale du projet </t>
  </si>
  <si>
    <r>
      <rPr>
        <b/>
        <sz val="8"/>
        <color rgb="FFFF0000"/>
        <rFont val="Times New Roman"/>
        <family val="1"/>
      </rPr>
      <t>*</t>
    </r>
    <r>
      <rPr>
        <sz val="8"/>
        <rFont val="Times New Roman"/>
        <family val="1"/>
      </rPr>
      <t xml:space="preserve">Clarification des rôles et appréciation correcte des tâches
</t>
    </r>
    <r>
      <rPr>
        <b/>
        <sz val="8"/>
        <color rgb="FFFF0000"/>
        <rFont val="Times New Roman"/>
        <family val="1"/>
      </rPr>
      <t>*</t>
    </r>
    <r>
      <rPr>
        <sz val="8"/>
        <rFont val="Times New Roman"/>
        <family val="1"/>
      </rPr>
      <t xml:space="preserve">Assurer le respect des normes reglementaires des trois organisations ( code de conduite / code protection d'enfanace /fraude ....) 
</t>
    </r>
    <r>
      <rPr>
        <b/>
        <sz val="8"/>
        <color rgb="FFFF0000"/>
        <rFont val="Times New Roman"/>
        <family val="1"/>
      </rPr>
      <t>*</t>
    </r>
    <r>
      <rPr>
        <sz val="8"/>
        <rFont val="Times New Roman"/>
        <family val="1"/>
      </rPr>
      <t xml:space="preserve">Assurer la communication et la sensibilisation continue avec les acteurs du projet dans le but de conserver l'identité régionale du projet </t>
    </r>
  </si>
  <si>
    <r>
      <rPr>
        <b/>
        <sz val="8"/>
        <color rgb="FFFF0000"/>
        <rFont val="Times New Roman"/>
        <family val="1"/>
      </rPr>
      <t>*</t>
    </r>
    <r>
      <rPr>
        <sz val="8"/>
        <rFont val="Times New Roman"/>
        <family val="1"/>
      </rPr>
      <t xml:space="preserve">Identification des Back-up avec un plan de succession RH en cas de départ 
</t>
    </r>
    <r>
      <rPr>
        <b/>
        <sz val="8"/>
        <color rgb="FFFF0000"/>
        <rFont val="Times New Roman"/>
        <family val="1"/>
      </rPr>
      <t>*</t>
    </r>
    <r>
      <rPr>
        <sz val="8"/>
        <rFont val="Times New Roman"/>
        <family val="1"/>
      </rPr>
      <t xml:space="preserve">Une évaluation semestrielle réciproque entre les  collaborateurs et les supérieurs hiérarchiques 
</t>
    </r>
    <r>
      <rPr>
        <b/>
        <sz val="8"/>
        <color rgb="FFFF0000"/>
        <rFont val="Times New Roman"/>
        <family val="1"/>
      </rPr>
      <t>*</t>
    </r>
    <r>
      <rPr>
        <sz val="8"/>
        <rFont val="Times New Roman"/>
        <family val="1"/>
      </rPr>
      <t xml:space="preserve">Mettre en place un système de sondage permettant la mesure du niveau de satisfaction du personnel
</t>
    </r>
    <r>
      <rPr>
        <b/>
        <sz val="8"/>
        <color rgb="FFFF0000"/>
        <rFont val="Times New Roman"/>
        <family val="1"/>
      </rPr>
      <t>*</t>
    </r>
    <r>
      <rPr>
        <sz val="8"/>
        <rFont val="Times New Roman"/>
        <family val="1"/>
      </rPr>
      <t xml:space="preserve">Assurer le backup IT de personnel  en cas d'un départ imprévu </t>
    </r>
  </si>
  <si>
    <t xml:space="preserve">Non stabilité des équipes 
Perturbation des conditions de travail 
</t>
  </si>
  <si>
    <t xml:space="preserve">Taux de turnover 
[( Nombre de départs sur l’année N + nombre d’arrivées sur l’année N) / 2 ] / Effectif au 1er janvier de l’année N. </t>
  </si>
  <si>
    <t xml:space="preserve">Mettre en place une stratégie pour minimiser le risque de départ des collaborateurs ainsi pour diminuer les départs  </t>
  </si>
  <si>
    <t xml:space="preserve">Le risque met le projet en péril et/ou arrêt des activités </t>
  </si>
  <si>
    <t xml:space="preserve">le consortium </t>
  </si>
  <si>
    <t xml:space="preserve">Veille continue sur le respect des conditions du bailleur des fonds </t>
  </si>
  <si>
    <r>
      <rPr>
        <b/>
        <sz val="8"/>
        <color rgb="FFFF0000"/>
        <rFont val="Times New Roman"/>
        <family val="1"/>
      </rPr>
      <t>*</t>
    </r>
    <r>
      <rPr>
        <sz val="8"/>
        <rFont val="Times New Roman"/>
        <family val="1"/>
      </rPr>
      <t xml:space="preserve">S'assurer du respect des clauses contractuelles établies entre le consortium et les partenaires
</t>
    </r>
    <r>
      <rPr>
        <b/>
        <sz val="8"/>
        <color rgb="FFFF0000"/>
        <rFont val="Times New Roman"/>
        <family val="1"/>
      </rPr>
      <t>*</t>
    </r>
    <r>
      <rPr>
        <sz val="8"/>
        <rFont val="Times New Roman"/>
        <family val="1"/>
      </rPr>
      <t xml:space="preserve">S'assurer de suivi des activités et de respect de la qualité exigé par le projet et le bailleur des fonds 
</t>
    </r>
    <r>
      <rPr>
        <b/>
        <sz val="8"/>
        <color rgb="FFFF0000"/>
        <rFont val="Times New Roman"/>
        <family val="1"/>
      </rPr>
      <t>*</t>
    </r>
    <r>
      <rPr>
        <sz val="8"/>
        <rFont val="Times New Roman"/>
        <family val="1"/>
      </rPr>
      <t xml:space="preserve">Rapport MEAL </t>
    </r>
  </si>
  <si>
    <t>une vision non claire de la situation de la trésorerie et absence d'une marge de manœuvre suffisante
Non anticipation les éventuels problèmes financiers</t>
  </si>
  <si>
    <t>responsable financier de chaque organisation /RAF UMO</t>
  </si>
  <si>
    <t>Responsable financier de chaque organisation /RAF UMO</t>
  </si>
  <si>
    <t>Piloter la trésorerie du projet efficacement</t>
  </si>
  <si>
    <r>
      <rPr>
        <b/>
        <sz val="8"/>
        <color rgb="FFFF0000"/>
        <rFont val="Times New Roman"/>
        <family val="1"/>
      </rPr>
      <t>*</t>
    </r>
    <r>
      <rPr>
        <sz val="8"/>
        <rFont val="Times New Roman"/>
        <family val="1"/>
      </rPr>
      <t xml:space="preserve">Etablir des états de rapprochement bancaire mensuel
</t>
    </r>
    <r>
      <rPr>
        <b/>
        <sz val="8"/>
        <color rgb="FFFF0000"/>
        <rFont val="Times New Roman"/>
        <family val="1"/>
      </rPr>
      <t>*</t>
    </r>
    <r>
      <rPr>
        <sz val="8"/>
        <rFont val="Times New Roman"/>
        <family val="1"/>
      </rPr>
      <t xml:space="preserve">Suivi quotidien d'état de flux de trésorerie 
</t>
    </r>
    <r>
      <rPr>
        <b/>
        <sz val="8"/>
        <color rgb="FFFF0000"/>
        <rFont val="Times New Roman"/>
        <family val="1"/>
      </rPr>
      <t>*</t>
    </r>
    <r>
      <rPr>
        <sz val="8"/>
        <rFont val="Times New Roman"/>
        <family val="1"/>
      </rPr>
      <t xml:space="preserve">Suivi quotidien des paiements
</t>
    </r>
    <r>
      <rPr>
        <b/>
        <sz val="8"/>
        <color rgb="FFFF0000"/>
        <rFont val="Times New Roman"/>
        <family val="1"/>
      </rPr>
      <t>*</t>
    </r>
    <r>
      <rPr>
        <sz val="8"/>
        <rFont val="Times New Roman"/>
        <family val="1"/>
      </rPr>
      <t>Anticiper la trésorerie</t>
    </r>
  </si>
  <si>
    <t>Les prévisions inexactes en matière de coûts et de ressources,  peuvent faire courir des risques au projet, et l'impact se fera sentir sur la rentabilité et les opportunités de croissance des activités 
Une sous-utilisation des ressources peuvent entraîner un excès de budget, voire l'annulation du projet</t>
  </si>
  <si>
    <t>Pour éviter les dépassements budgétaires, il est important de surveiller l'avancement du projet. Identifier les dysfonctionnements mineurs et les empêcher de prendre de l'ampleur, au risque de menacer la réussite du projet</t>
  </si>
  <si>
    <r>
      <rPr>
        <b/>
        <sz val="8"/>
        <color rgb="FFFF0000"/>
        <rFont val="Times New Roman"/>
        <family val="1"/>
      </rPr>
      <t>*</t>
    </r>
    <r>
      <rPr>
        <sz val="8"/>
        <rFont val="Times New Roman"/>
        <family val="1"/>
      </rPr>
      <t xml:space="preserve">Assurer un suivi régulier du budget
</t>
    </r>
    <r>
      <rPr>
        <b/>
        <sz val="8"/>
        <color rgb="FFFF0000"/>
        <rFont val="Times New Roman"/>
        <family val="1"/>
      </rPr>
      <t>*</t>
    </r>
    <r>
      <rPr>
        <sz val="8"/>
        <rFont val="Times New Roman"/>
        <family val="1"/>
      </rPr>
      <t xml:space="preserve">Mettre de côté un fonds pour les imprévus
</t>
    </r>
    <r>
      <rPr>
        <b/>
        <sz val="8"/>
        <color rgb="FFFF0000"/>
        <rFont val="Times New Roman"/>
        <family val="1"/>
      </rPr>
      <t>*</t>
    </r>
    <r>
      <rPr>
        <sz val="8"/>
        <rFont val="Times New Roman"/>
        <family val="1"/>
      </rPr>
      <t xml:space="preserve">Surveiller l'avancement des activités du projet
</t>
    </r>
    <r>
      <rPr>
        <b/>
        <sz val="8"/>
        <color rgb="FFFF0000"/>
        <rFont val="Times New Roman"/>
        <family val="1"/>
      </rPr>
      <t>*</t>
    </r>
    <r>
      <rPr>
        <sz val="8"/>
        <rFont val="Times New Roman"/>
        <family val="1"/>
      </rPr>
      <t xml:space="preserve">Impliquer les différents acteurs du projet concernés ( RAFs pays &amp; coordos) dans le process de suivi budgetaire pour contrôler les dépenses et estimer les prévisions des activités futures </t>
    </r>
  </si>
  <si>
    <t>Charges supplémentaires supportées par le projet, perturbations au niveau du budget suite au coûts supplémentaires qui peuvent affecter les activités</t>
  </si>
  <si>
    <t xml:space="preserve">Chaque organisation </t>
  </si>
  <si>
    <r>
      <rPr>
        <b/>
        <sz val="8"/>
        <color rgb="FFFF0000"/>
        <rFont val="Times New Roman"/>
        <family val="1"/>
      </rPr>
      <t>*</t>
    </r>
    <r>
      <rPr>
        <sz val="8"/>
        <rFont val="Times New Roman"/>
        <family val="1"/>
      </rPr>
      <t xml:space="preserve">Lancer des demandes d'exonération de TVA chez les autorités concernées dans chaque pays du projet 
</t>
    </r>
    <r>
      <rPr>
        <b/>
        <sz val="8"/>
        <color rgb="FFFF0000"/>
        <rFont val="Times New Roman"/>
        <family val="1"/>
      </rPr>
      <t>*</t>
    </r>
    <r>
      <rPr>
        <sz val="8"/>
        <rFont val="Times New Roman"/>
        <family val="1"/>
      </rPr>
      <t xml:space="preserve">Assurer un suivi rigoureux pour les demandes déposées
</t>
    </r>
    <r>
      <rPr>
        <b/>
        <sz val="8"/>
        <color rgb="FFFF0000"/>
        <rFont val="Times New Roman"/>
        <family val="1"/>
      </rPr>
      <t>*</t>
    </r>
    <r>
      <rPr>
        <sz val="8"/>
        <rFont val="Times New Roman"/>
        <family val="1"/>
      </rPr>
      <t xml:space="preserve">Etudier la faisabilité d'ajouter un ligne budgetaire pour faire face au risque de non récupération de la TVA 
</t>
    </r>
  </si>
  <si>
    <t xml:space="preserve">Veille continue sur l'avancement des dossiers déposés pour l'attestation d'exonération </t>
  </si>
  <si>
    <t xml:space="preserve">Difficulté d'honorer les engagments du projet 
Ralentissement de l'exécution des activités 
</t>
  </si>
  <si>
    <t xml:space="preserve">Responsable financier de chaque organisation </t>
  </si>
  <si>
    <t xml:space="preserve">Mettre l’accent sur la coordination et le partage d’informations entre organismes de mise en œuvre de TM.
Se préparer pour les TM bien avant l’urgence
Identifier les risques perçus spécifiques de TM à chaque pays </t>
  </si>
  <si>
    <t xml:space="preserve">les fonds perçus ne couvrent pas les charges des activités planifiées ou réalisées, déséquilibre dans les budgets prévisionnels entre prévus et perçus </t>
  </si>
  <si>
    <t>Variation de taux de change lors de transfet:  risque que les fonds transferés sont minorés par rapport au fonds planifiés au niveau du budget</t>
  </si>
  <si>
    <t>Mettre en ouvre un stratégie de taux de change 
Essayer d'ajouter une ligne budgétaire qui couvre les variation de taux de change</t>
  </si>
  <si>
    <r>
      <rPr>
        <b/>
        <sz val="8"/>
        <color rgb="FFFF0000"/>
        <rFont val="Times New Roman"/>
        <family val="1"/>
      </rPr>
      <t>*</t>
    </r>
    <r>
      <rPr>
        <sz val="8"/>
        <rFont val="Times New Roman"/>
        <family val="1"/>
      </rPr>
      <t xml:space="preserve">Mettre en ouvre un stratégie de taux de change 
</t>
    </r>
    <r>
      <rPr>
        <b/>
        <sz val="8"/>
        <color rgb="FFFF0000"/>
        <rFont val="Times New Roman"/>
        <family val="1"/>
      </rPr>
      <t>*</t>
    </r>
    <r>
      <rPr>
        <sz val="8"/>
        <rFont val="Times New Roman"/>
        <family val="1"/>
      </rPr>
      <t>Essayer d'ajouter une ligne budgétaire qui couvre les variation de taux de change</t>
    </r>
  </si>
  <si>
    <t>Une mauvaise gestion des ressources crée un système d'inefficacités qui compromet la stabilité et la réussite du projet. Elle peut affecter le bon déroulment des activités.
Difficulté quant à la réalisation des objectifs du projet.</t>
  </si>
  <si>
    <t xml:space="preserve">veille continue sur la bonne gestion de ressources du projet </t>
  </si>
  <si>
    <r>
      <rPr>
        <b/>
        <sz val="8"/>
        <color rgb="FFFF0000"/>
        <rFont val="Times New Roman"/>
        <family val="1"/>
      </rPr>
      <t>*</t>
    </r>
    <r>
      <rPr>
        <sz val="8"/>
        <rFont val="Times New Roman"/>
        <family val="1"/>
      </rPr>
      <t xml:space="preserve">Assurer un bon suivi et un contrôle budgetaire efficace par le RAF UMO </t>
    </r>
    <r>
      <rPr>
        <b/>
        <sz val="8"/>
        <color rgb="FFFF0000"/>
        <rFont val="Times New Roman"/>
        <family val="1"/>
      </rPr>
      <t xml:space="preserve">
*</t>
    </r>
    <r>
      <rPr>
        <sz val="8"/>
        <rFont val="Times New Roman"/>
        <family val="1"/>
      </rPr>
      <t xml:space="preserve">Assurer un bon suivi budgetaire par les responsables financiers : 
-Évaluer le plus précisément possible les délais de réalisation des activités.
-Estimer les dépenses « valorisées ».
-Déterminer une marge de manœuvre budgétaire.
-Estimer les coûts d'avancement à chaque étape du projet.
</t>
    </r>
  </si>
  <si>
    <t xml:space="preserve">La vulnérabilité de la sécurité informatique
L'habilitation et gestion des accés 
Perte ou fuite des données
Backup et site de sécours 
</t>
  </si>
  <si>
    <t>R48</t>
  </si>
  <si>
    <t>R49</t>
  </si>
  <si>
    <t>Les principaux risques liés à une mauvaise sécurité sont la perte de données,  l’accès de données à des personnes non autorisées et l’altération des données de système d’information, 
La perte de données amène à d’autres dommages tels que le ralentissement des activités, la fraude financière, l’atteinte à l’imagedu projet,...</t>
  </si>
  <si>
    <t xml:space="preserve">la direction du SI  dans chaque pays  et chaque utilisateurs du SI dans le projet  </t>
  </si>
  <si>
    <t xml:space="preserve">Veille continue sur la protection des données et mise en place d'un PPSI </t>
  </si>
  <si>
    <t xml:space="preserve">Nombre des cyberattaques
Nombre de fois là ou perd les données   </t>
  </si>
  <si>
    <r>
      <rPr>
        <sz val="8"/>
        <color rgb="FFFF0000"/>
        <rFont val="Times New Roman"/>
        <family val="1"/>
      </rPr>
      <t>*</t>
    </r>
    <r>
      <rPr>
        <sz val="8"/>
        <rFont val="Times New Roman"/>
        <family val="1"/>
      </rPr>
      <t xml:space="preserve">Mettre en œuvre une politique de protection de système d'information PPSI
</t>
    </r>
    <r>
      <rPr>
        <b/>
        <sz val="8"/>
        <color rgb="FFFF0000"/>
        <rFont val="Times New Roman"/>
        <family val="1"/>
      </rPr>
      <t>*</t>
    </r>
    <r>
      <rPr>
        <sz val="8"/>
        <rFont val="Times New Roman"/>
        <family val="1"/>
      </rPr>
      <t xml:space="preserve">Sensibiliser et accompagner les utilisateurs du SI quant à l'importance de la protection des données et les bonnes partiques face aux dangers liés au SI 
</t>
    </r>
    <r>
      <rPr>
        <b/>
        <sz val="8"/>
        <color rgb="FFFF0000"/>
        <rFont val="Times New Roman"/>
        <family val="1"/>
      </rPr>
      <t>*</t>
    </r>
    <r>
      <rPr>
        <sz val="8"/>
        <rFont val="Times New Roman"/>
        <family val="1"/>
      </rPr>
      <t xml:space="preserve">Renforecer la gestion des accès 
</t>
    </r>
    <r>
      <rPr>
        <b/>
        <sz val="8"/>
        <color rgb="FFFF0000"/>
        <rFont val="Times New Roman"/>
        <family val="1"/>
      </rPr>
      <t>*</t>
    </r>
    <r>
      <rPr>
        <sz val="8"/>
        <rFont val="Times New Roman"/>
        <family val="1"/>
      </rPr>
      <t>Procéder au backup externe : sauvegarde de données sur un support de stockage adapté (par exemple un disque dur externe)</t>
    </r>
  </si>
  <si>
    <t>chaque organisation /responsable sécurité de chaque organisation</t>
  </si>
  <si>
    <t>mettre en place une procédures de sécurité adéquate aux spécifités des pays projet</t>
  </si>
  <si>
    <r>
      <rPr>
        <b/>
        <sz val="8"/>
        <color rgb="FFFF0000"/>
        <rFont val="Times New Roman"/>
        <family val="1"/>
      </rPr>
      <t>*</t>
    </r>
    <r>
      <rPr>
        <sz val="8"/>
        <rFont val="Times New Roman"/>
        <family val="1"/>
      </rPr>
      <t xml:space="preserve">Mise en place des notes de sécurité relative à chaque organisation et bureau pays
</t>
    </r>
    <r>
      <rPr>
        <b/>
        <sz val="8"/>
        <color rgb="FFFF0000"/>
        <rFont val="Times New Roman"/>
        <family val="1"/>
      </rPr>
      <t>*</t>
    </r>
    <r>
      <rPr>
        <sz val="8"/>
        <rFont val="Times New Roman"/>
        <family val="1"/>
      </rPr>
      <t xml:space="preserve">Mise en place des mesures de sécurité adéquates à chaque contexte pays
</t>
    </r>
    <r>
      <rPr>
        <b/>
        <sz val="8"/>
        <color rgb="FFFF0000"/>
        <rFont val="Times New Roman"/>
        <family val="1"/>
      </rPr>
      <t>*</t>
    </r>
    <r>
      <rPr>
        <sz val="8"/>
        <rFont val="Times New Roman"/>
        <family val="1"/>
      </rPr>
      <t xml:space="preserve">Assurer une formation sécurité aux différents collaborateurs du projet avant de leurs missions 
</t>
    </r>
    <r>
      <rPr>
        <b/>
        <sz val="8"/>
        <color rgb="FFFF0000"/>
        <rFont val="Times New Roman"/>
        <family val="1"/>
      </rPr>
      <t>*</t>
    </r>
    <r>
      <rPr>
        <sz val="8"/>
        <rFont val="Times New Roman"/>
        <family val="1"/>
      </rPr>
      <t>Sensibiliser et accompagner les acteurs du projet (bénévoles, bénéficiaires et partenaire) pour maitriser et comprendre les risques liés à l'insécurité et comment y faire face dans des éventuelles situations</t>
    </r>
  </si>
  <si>
    <t>Dommage au capital humain quelque soit  personnel du projet, partenaires, bénévoles, bénéficiaires</t>
  </si>
  <si>
    <t>Perte et/ou dommage aux des ressources du projet</t>
  </si>
  <si>
    <r>
      <rPr>
        <b/>
        <sz val="8"/>
        <color rgb="FFFF0000"/>
        <rFont val="Times New Roman"/>
        <family val="1"/>
      </rPr>
      <t>*</t>
    </r>
    <r>
      <rPr>
        <sz val="8"/>
        <rFont val="Times New Roman"/>
        <family val="1"/>
      </rPr>
      <t xml:space="preserve">Mettre en place des mesures de sécurité pour protéger les bien du projet 
</t>
    </r>
    <r>
      <rPr>
        <b/>
        <sz val="8"/>
        <color rgb="FFFF0000"/>
        <rFont val="Times New Roman"/>
        <family val="1"/>
      </rPr>
      <t>*</t>
    </r>
    <r>
      <rPr>
        <sz val="8"/>
        <rFont val="Times New Roman"/>
        <family val="1"/>
      </rPr>
      <t>Sensibiliser les acteurs du projet de l'importance de la sauvegarde des bien du projet et comment faire face aux éventuelles situations à d'insécurité et protéger les bien du projet</t>
    </r>
  </si>
  <si>
    <t xml:space="preserve">Mettre en danger le capital humain et les bien du projet
Résultat non souhaitable des plans de sécurité mis en place par les trois organisation </t>
  </si>
  <si>
    <t>veille continue sur une bonne communication entre les 3 organisations à propos la sécurité afin de pouvoir faire face aux situations des crises qui necessite des interventions rapides</t>
  </si>
  <si>
    <r>
      <rPr>
        <b/>
        <sz val="8"/>
        <color rgb="FFFF0000"/>
        <rFont val="Times New Roman"/>
        <family val="1"/>
      </rPr>
      <t>*</t>
    </r>
    <r>
      <rPr>
        <sz val="8"/>
        <rFont val="Times New Roman"/>
        <family val="1"/>
      </rPr>
      <t xml:space="preserve">Fixer des réunions périodiques afin d'échanger sur les termes de sécurité par pays 
</t>
    </r>
    <r>
      <rPr>
        <b/>
        <sz val="8"/>
        <color rgb="FFFF0000"/>
        <rFont val="Times New Roman"/>
        <family val="1"/>
      </rPr>
      <t>*</t>
    </r>
    <r>
      <rPr>
        <sz val="8"/>
        <rFont val="Times New Roman"/>
        <family val="1"/>
      </rPr>
      <t xml:space="preserve">Mettre un plan de sécurité consortium en cas urgence
</t>
    </r>
    <r>
      <rPr>
        <b/>
        <sz val="8"/>
        <color rgb="FFFF0000"/>
        <rFont val="Times New Roman"/>
        <family val="1"/>
      </rPr>
      <t>*</t>
    </r>
    <r>
      <rPr>
        <sz val="8"/>
        <rFont val="Times New Roman"/>
        <family val="1"/>
      </rPr>
      <t xml:space="preserve">Assurer une bonne communication consortium en cas de crise pour harmoniser les effort déployés en matière de sécurité
</t>
    </r>
  </si>
  <si>
    <t>chaque organisation /responsable sécurité de chaque organisation/Coordos</t>
  </si>
  <si>
    <t xml:space="preserve">Mettre en cause la crédibilité du projet 
Un impact négatif considérable sur les relations institutionnelles avec le bailleur du fonds 
Risque de repture du contrat en cas de faute grave </t>
  </si>
  <si>
    <t xml:space="preserve">chaque organisation du consortium/ chaque acteur du projet </t>
  </si>
  <si>
    <t xml:space="preserve">un contrôle interne rigoureux pour prévenir les erreurs de gestion impactant l'image du projet </t>
  </si>
  <si>
    <r>
      <rPr>
        <b/>
        <sz val="8"/>
        <color rgb="FFFF0000"/>
        <rFont val="Times New Roman"/>
        <family val="1"/>
      </rPr>
      <t>*</t>
    </r>
    <r>
      <rPr>
        <sz val="8"/>
        <rFont val="Times New Roman"/>
        <family val="1"/>
      </rPr>
      <t xml:space="preserve">S'assurer que les régles et les procedures du projet sont correctement diffusées à tous les acteurs du projet 
</t>
    </r>
    <r>
      <rPr>
        <b/>
        <sz val="8"/>
        <color rgb="FFFF0000"/>
        <rFont val="Times New Roman"/>
        <family val="1"/>
      </rPr>
      <t>*</t>
    </r>
    <r>
      <rPr>
        <sz val="8"/>
        <rFont val="Times New Roman"/>
        <family val="1"/>
      </rPr>
      <t xml:space="preserve">S'assurer de la bonne application des procedures mises en place
</t>
    </r>
    <r>
      <rPr>
        <b/>
        <sz val="8"/>
        <color rgb="FFFF0000"/>
        <rFont val="Times New Roman"/>
        <family val="1"/>
      </rPr>
      <t>*</t>
    </r>
    <r>
      <rPr>
        <sz val="8"/>
        <rFont val="Times New Roman"/>
        <family val="1"/>
      </rPr>
      <t xml:space="preserve">Renforcer les controles du 1er niveau 
</t>
    </r>
    <r>
      <rPr>
        <b/>
        <sz val="8"/>
        <color rgb="FFFF0000"/>
        <rFont val="Times New Roman"/>
        <family val="1"/>
      </rPr>
      <t>*</t>
    </r>
    <r>
      <rPr>
        <sz val="8"/>
        <rFont val="Times New Roman"/>
        <family val="1"/>
      </rPr>
      <t xml:space="preserve">Renforcer le contrôle du 3ème niveau par l'audit interne du projet </t>
    </r>
  </si>
  <si>
    <t xml:space="preserve">Mettre en cause la crédibilité du projet </t>
  </si>
  <si>
    <t xml:space="preserve">responsable communication /coordos pays </t>
  </si>
  <si>
    <t xml:space="preserve">veille continue sur une bonne communication externe qui porte entre ses objectifs une sauvegarde de l'image du projet </t>
  </si>
  <si>
    <r>
      <t xml:space="preserve">Pour une communication externe efficace, il faut :
</t>
    </r>
    <r>
      <rPr>
        <b/>
        <sz val="8"/>
        <color rgb="FFFF0000"/>
        <rFont val="Times New Roman"/>
        <family val="1"/>
      </rPr>
      <t>*</t>
    </r>
    <r>
      <rPr>
        <sz val="8"/>
        <rFont val="Times New Roman"/>
        <family val="1"/>
      </rPr>
      <t xml:space="preserve">Que la stratégie suive des axes précis en vue d’atteindre des objectifs fixés. 
</t>
    </r>
    <r>
      <rPr>
        <b/>
        <sz val="8"/>
        <color rgb="FFFF0000"/>
        <rFont val="Times New Roman"/>
        <family val="1"/>
      </rPr>
      <t>*</t>
    </r>
    <r>
      <rPr>
        <sz val="8"/>
        <rFont val="Times New Roman"/>
        <family val="1"/>
      </rPr>
      <t>Sélectionner les meilleurs moyens de communication et les messages à transmettre.</t>
    </r>
  </si>
  <si>
    <r>
      <rPr>
        <b/>
        <sz val="8"/>
        <color rgb="FFFF0000"/>
        <rFont val="Times New Roman"/>
        <family val="1"/>
      </rPr>
      <t>*</t>
    </r>
    <r>
      <rPr>
        <sz val="8"/>
        <rFont val="Times New Roman"/>
        <family val="1"/>
      </rPr>
      <t xml:space="preserve">Mettre en œuvre une stratégie de communication qui couvre le volet média 
</t>
    </r>
    <r>
      <rPr>
        <b/>
        <sz val="8"/>
        <color rgb="FFFF0000"/>
        <rFont val="Times New Roman"/>
        <family val="1"/>
      </rPr>
      <t>*</t>
    </r>
    <r>
      <rPr>
        <sz val="8"/>
        <rFont val="Times New Roman"/>
        <family val="1"/>
      </rPr>
      <t xml:space="preserve">Être actif sur les réseaux sociaux pour renforcer l'image du projet 
</t>
    </r>
    <r>
      <rPr>
        <b/>
        <sz val="8"/>
        <color rgb="FFFF0000"/>
        <rFont val="Times New Roman"/>
        <family val="1"/>
      </rPr>
      <t>*</t>
    </r>
    <r>
      <rPr>
        <sz val="8"/>
        <rFont val="Times New Roman"/>
        <family val="1"/>
      </rPr>
      <t>Garder un oeil vigilant sur médias qui parlent à propos le projet , et préparer des mesures à prendre en urgence en cas de menace</t>
    </r>
  </si>
  <si>
    <t xml:space="preserve">Ralentissement des activités
Blocage des activités
</t>
  </si>
  <si>
    <t xml:space="preserve">Mettre en péril le capital humain du projet 
Ralentissement des activités
Blocage des activités
</t>
  </si>
  <si>
    <t>Ralentissement des activités
Blocage des activités</t>
  </si>
  <si>
    <t>Mettre en péril le capital humain du projet 
Ralentissement des activités
Blocage des activités</t>
  </si>
  <si>
    <t>chaque organisation lead dans le pays du projet /consortium</t>
  </si>
  <si>
    <t>Accepter</t>
  </si>
  <si>
    <t>Evaluer si les consequences de ces risques sont gérables. Cette strategie ne vise pas a eviter ou a reduire les menaces, mais plutot a sensibiliser davantage les gens aux risques qui ne peuvent pas etre evites</t>
  </si>
  <si>
    <t xml:space="preserve"> Il s'agit d'evaluer les risques identifies et de prendre des mesures pour reduire ou prevenir l'impact negatif potentiel. Plutot que d'eviter ou d'accepter entierement les risques, cela se concentre sur les consequences et sur la facon de les gerer.</t>
  </si>
  <si>
    <t>La supérvision permet d'intervenir en temps reel pour attenuer les risques et exige de savoir comment chaque changement peut avoir une incidence sur la probabilite que des risques potentiels se produisent.</t>
  </si>
  <si>
    <r>
      <rPr>
        <b/>
        <sz val="8"/>
        <color rgb="FFFF0000"/>
        <rFont val="Times New Roman"/>
        <family val="1"/>
      </rPr>
      <t>*</t>
    </r>
    <r>
      <rPr>
        <sz val="8"/>
        <rFont val="Times New Roman"/>
        <family val="1"/>
      </rPr>
      <t xml:space="preserve">Former et sensibiliser les équipes du projet au sein de trois organisations et encourager la communication, cela perment d’avoir une vue d’ensemble de l’environnement des bureaux pays
</t>
    </r>
    <r>
      <rPr>
        <b/>
        <sz val="8"/>
        <color rgb="FFFF0000"/>
        <rFont val="Times New Roman"/>
        <family val="1"/>
      </rPr>
      <t>*</t>
    </r>
    <r>
      <rPr>
        <sz val="8"/>
        <rFont val="Times New Roman"/>
        <family val="1"/>
      </rPr>
      <t>Une veille continue sur l'évolution de la situation</t>
    </r>
  </si>
  <si>
    <r>
      <rPr>
        <b/>
        <sz val="8"/>
        <color rgb="FFFF0000"/>
        <rFont val="Times New Roman"/>
        <family val="1"/>
      </rPr>
      <t>*</t>
    </r>
    <r>
      <rPr>
        <sz val="8"/>
        <rFont val="Times New Roman"/>
        <family val="1"/>
      </rPr>
      <t xml:space="preserve">Sensibiliser les équipes de risque identifiés et comment agir dans certaines situations
</t>
    </r>
    <r>
      <rPr>
        <b/>
        <sz val="8"/>
        <color rgb="FFFF0000"/>
        <rFont val="Times New Roman"/>
        <family val="1"/>
      </rPr>
      <t>*</t>
    </r>
    <r>
      <rPr>
        <sz val="8"/>
        <rFont val="Times New Roman"/>
        <family val="1"/>
      </rPr>
      <t xml:space="preserve">Une veille continue sur l'évolution de la situation 
</t>
    </r>
    <r>
      <rPr>
        <b/>
        <sz val="8"/>
        <color rgb="FFFF0000"/>
        <rFont val="Times New Roman"/>
        <family val="1"/>
      </rPr>
      <t>*</t>
    </r>
    <r>
      <rPr>
        <sz val="8"/>
        <rFont val="Times New Roman"/>
        <family val="1"/>
      </rPr>
      <t xml:space="preserve">Mettre en place une stratégie d'urgence dans tels cas 
</t>
    </r>
    <r>
      <rPr>
        <b/>
        <sz val="8"/>
        <color rgb="FFFF0000"/>
        <rFont val="Times New Roman"/>
        <family val="1"/>
      </rPr>
      <t>*</t>
    </r>
    <r>
      <rPr>
        <sz val="8"/>
        <rFont val="Times New Roman"/>
        <family val="1"/>
      </rPr>
      <t xml:space="preserve">Favoriser le travail à distance </t>
    </r>
  </si>
  <si>
    <r>
      <rPr>
        <b/>
        <sz val="8"/>
        <color rgb="FFFF0000"/>
        <rFont val="Times New Roman"/>
        <family val="1"/>
      </rPr>
      <t>*</t>
    </r>
    <r>
      <rPr>
        <sz val="8"/>
        <rFont val="Times New Roman"/>
        <family val="1"/>
      </rPr>
      <t xml:space="preserve">Mettre en place des mesures préventives contre les menaces des virus 
</t>
    </r>
    <r>
      <rPr>
        <b/>
        <sz val="8"/>
        <color rgb="FFFF0000"/>
        <rFont val="Times New Roman"/>
        <family val="1"/>
      </rPr>
      <t>*</t>
    </r>
    <r>
      <rPr>
        <sz val="8"/>
        <rFont val="Times New Roman"/>
        <family val="1"/>
      </rPr>
      <t xml:space="preserve">Sensibiliser les équipes de risque identifiés et comment agir dans certaines situations
</t>
    </r>
    <r>
      <rPr>
        <b/>
        <sz val="8"/>
        <color rgb="FFFF0000"/>
        <rFont val="Times New Roman"/>
        <family val="1"/>
      </rPr>
      <t>*</t>
    </r>
    <r>
      <rPr>
        <sz val="8"/>
        <rFont val="Times New Roman"/>
        <family val="1"/>
      </rPr>
      <t xml:space="preserve">Une veille continue sur l'évolution de la situation 
</t>
    </r>
    <r>
      <rPr>
        <b/>
        <sz val="8"/>
        <color rgb="FFFF0000"/>
        <rFont val="Times New Roman"/>
        <family val="1"/>
      </rPr>
      <t>*</t>
    </r>
    <r>
      <rPr>
        <sz val="8"/>
        <rFont val="Times New Roman"/>
        <family val="1"/>
      </rPr>
      <t xml:space="preserve">Mettre en place une stratégie d'urgence dans tels cas 
</t>
    </r>
    <r>
      <rPr>
        <b/>
        <sz val="8"/>
        <color rgb="FFFF0000"/>
        <rFont val="Times New Roman"/>
        <family val="1"/>
      </rPr>
      <t>*</t>
    </r>
    <r>
      <rPr>
        <sz val="8"/>
        <rFont val="Times New Roman"/>
        <family val="1"/>
      </rPr>
      <t xml:space="preserve">Favoriser le travail à distance </t>
    </r>
  </si>
  <si>
    <r>
      <rPr>
        <b/>
        <sz val="8"/>
        <color rgb="FFFF0000"/>
        <rFont val="Times New Roman"/>
        <family val="1"/>
      </rPr>
      <t>*</t>
    </r>
    <r>
      <rPr>
        <sz val="8"/>
        <rFont val="Times New Roman"/>
        <family val="1"/>
      </rPr>
      <t xml:space="preserve">Une veille continue sur l'avancement du projet 
</t>
    </r>
    <r>
      <rPr>
        <b/>
        <sz val="8"/>
        <color rgb="FFFF0000"/>
        <rFont val="Times New Roman"/>
        <family val="1"/>
      </rPr>
      <t>*</t>
    </r>
    <r>
      <rPr>
        <sz val="8"/>
        <rFont val="Times New Roman"/>
        <family val="1"/>
      </rPr>
      <t xml:space="preserve">Remonter l'information en cas de blocage </t>
    </r>
  </si>
  <si>
    <r>
      <rPr>
        <b/>
        <sz val="8"/>
        <color rgb="FFFF0000"/>
        <rFont val="Times New Roman"/>
        <family val="1"/>
      </rPr>
      <t>*</t>
    </r>
    <r>
      <rPr>
        <sz val="8"/>
        <rFont val="Times New Roman"/>
        <family val="1"/>
      </rPr>
      <t xml:space="preserve">Sensibiliser les équipes de risque identifiés et comment agir dans certaines situations
</t>
    </r>
    <r>
      <rPr>
        <b/>
        <sz val="8"/>
        <color rgb="FFFF0000"/>
        <rFont val="Times New Roman"/>
        <family val="1"/>
      </rPr>
      <t>*</t>
    </r>
    <r>
      <rPr>
        <sz val="8"/>
        <rFont val="Times New Roman"/>
        <family val="1"/>
      </rPr>
      <t xml:space="preserve">Une veille continue sur l'évolution de la situation 
</t>
    </r>
    <r>
      <rPr>
        <b/>
        <sz val="8"/>
        <color rgb="FFFF0000"/>
        <rFont val="Times New Roman"/>
        <family val="1"/>
      </rPr>
      <t>*</t>
    </r>
    <r>
      <rPr>
        <sz val="8"/>
        <rFont val="Times New Roman"/>
        <family val="1"/>
      </rPr>
      <t xml:space="preserve">Mettre en place une stratégie d'urgence dans tels cas </t>
    </r>
  </si>
  <si>
    <t xml:space="preserve">Responsable financier et directeur pays  de chaque organisation/ et responsable financier siège  </t>
  </si>
  <si>
    <t>RAF UMO /CDP</t>
  </si>
  <si>
    <r>
      <rPr>
        <b/>
        <sz val="8"/>
        <color rgb="FFFF0000"/>
        <rFont val="Times New Roman"/>
        <family val="1"/>
      </rPr>
      <t>*</t>
    </r>
    <r>
      <rPr>
        <sz val="8"/>
        <rFont val="Times New Roman"/>
        <family val="1"/>
      </rPr>
      <t xml:space="preserve">Mettre l’accent sur la coordination et le partage d’informations entre organismes de mise en œuvre de TM.
</t>
    </r>
    <r>
      <rPr>
        <b/>
        <sz val="8"/>
        <color rgb="FFFF0000"/>
        <rFont val="Times New Roman"/>
        <family val="1"/>
      </rPr>
      <t>*</t>
    </r>
    <r>
      <rPr>
        <sz val="8"/>
        <rFont val="Times New Roman"/>
        <family val="1"/>
      </rPr>
      <t xml:space="preserve">Se préparer pour les TM bien avant l’urgence
</t>
    </r>
    <r>
      <rPr>
        <b/>
        <sz val="8"/>
        <color rgb="FFFF0000"/>
        <rFont val="Times New Roman"/>
        <family val="1"/>
      </rPr>
      <t>*</t>
    </r>
    <r>
      <rPr>
        <sz val="8"/>
        <rFont val="Times New Roman"/>
        <family val="1"/>
      </rPr>
      <t xml:space="preserve">Identifier les risques perçus spécifiques de TM à chaque pays </t>
    </r>
  </si>
  <si>
    <t>Actions de priorité</t>
  </si>
  <si>
    <t xml:space="preserve">Conflits armés 
</t>
  </si>
  <si>
    <t xml:space="preserve">Une trésorerie non suivi : rapprochement bancaire, état des flux, paiements,... </t>
  </si>
  <si>
    <t>15 15</t>
  </si>
  <si>
    <t>20 20</t>
  </si>
  <si>
    <t>16 16 16 16 16 16 16 16 16 16 16</t>
  </si>
  <si>
    <t>15 15 15 15</t>
  </si>
  <si>
    <t>9 9 9 9 9 9 9 9</t>
  </si>
  <si>
    <t>12 12 12 12 12 12 12 12 12 12 12 12 12 12 12 12 12 12 12 12 12 12 12 12 12</t>
  </si>
  <si>
    <t>4 4</t>
  </si>
  <si>
    <t>6 9</t>
  </si>
  <si>
    <t>12 9 12 12 9 9 12 9 12 9 12 12 12</t>
  </si>
  <si>
    <t>12 16 16 16 16 16 12 12 16 12 9 12 12 12 12 12</t>
  </si>
  <si>
    <t>12 12 12 12 15 12 15 12 12 8</t>
  </si>
  <si>
    <t>16 16 20 16 16 20 16 12</t>
  </si>
  <si>
    <t>5 4 4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</si>
</sst>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 &quot;€&quot;;[Red]\-#,##0.00\ &quot;€&quot;"/>
    <numFmt numFmtId="165" formatCode="[$-F800]dddd\,\ mmmm\ dd\,\ yyyy"/>
  </numFmts>
  <fonts count="97">
    <font>
      <sz val="10"/>
      <name val="Arial"/>
    </font>
    <font>
      <sz val="11"/>
      <color theme="1"/>
      <name val="Calibri"/>
      <family val="2"/>
      <scheme val="minor"/>
    </font>
    <font>
      <sz val="11"/>
      <color theme="1"/>
      <name val="Calibri"/>
      <family val="2"/>
      <scheme val="minor"/>
    </font>
    <font>
      <sz val="11"/>
      <color theme="1"/>
      <name val="Verdana"/>
      <family val="2"/>
    </font>
    <font>
      <sz val="11"/>
      <color theme="1"/>
      <name val="Verdana"/>
      <family val="2"/>
    </font>
    <font>
      <sz val="11"/>
      <color theme="1"/>
      <name val="Verdana"/>
      <family val="2"/>
    </font>
    <font>
      <sz val="10"/>
      <color indexed="8"/>
      <name val="Arial"/>
      <family val="2"/>
    </font>
    <font>
      <b/>
      <sz val="10"/>
      <name val="Arial"/>
      <family val="2"/>
    </font>
    <font>
      <sz val="10"/>
      <name val="Arial"/>
      <family val="2"/>
    </font>
    <font>
      <sz val="8"/>
      <name val="Arial"/>
      <family val="2"/>
    </font>
    <font>
      <b/>
      <sz val="8"/>
      <color indexed="8"/>
      <name val="Arial"/>
      <family val="2"/>
    </font>
    <font>
      <sz val="8"/>
      <color rgb="FFFF0000"/>
      <name val="Arial"/>
      <family val="2"/>
    </font>
    <font>
      <sz val="10"/>
      <color rgb="FFFF0000"/>
      <name val="Arial"/>
      <family val="2"/>
    </font>
    <font>
      <b/>
      <sz val="16"/>
      <name val="Arial"/>
      <family val="2"/>
    </font>
    <font>
      <b/>
      <sz val="8"/>
      <color rgb="FFFF0000"/>
      <name val="Arial"/>
      <family val="2"/>
    </font>
    <font>
      <sz val="8"/>
      <color indexed="8"/>
      <name val="Arial"/>
      <family val="2"/>
    </font>
    <font>
      <b/>
      <sz val="8"/>
      <name val="Arial"/>
      <family val="2"/>
    </font>
    <font>
      <i/>
      <sz val="8"/>
      <name val="Arial"/>
      <family val="2"/>
    </font>
    <font>
      <b/>
      <sz val="12"/>
      <color indexed="8"/>
      <name val="Arial"/>
      <family val="2"/>
    </font>
    <font>
      <b/>
      <sz val="12"/>
      <name val="Wingdings"/>
      <charset val="2"/>
    </font>
    <font>
      <sz val="12"/>
      <name val="Arial"/>
      <family val="2"/>
    </font>
    <font>
      <sz val="6"/>
      <name val="Arial"/>
      <family val="2"/>
    </font>
    <font>
      <b/>
      <sz val="10"/>
      <color indexed="8"/>
      <name val="Arial"/>
      <family val="2"/>
    </font>
    <font>
      <b/>
      <i/>
      <sz val="10"/>
      <name val="Arial"/>
      <family val="2"/>
    </font>
    <font>
      <sz val="8"/>
      <color rgb="FF00B050"/>
      <name val="Arial"/>
      <family val="2"/>
    </font>
    <font>
      <b/>
      <sz val="11"/>
      <color theme="0" tint="-0.249977111117893"/>
      <name val="Arial"/>
      <family val="2"/>
    </font>
    <font>
      <sz val="10"/>
      <color theme="1"/>
      <name val="Arial"/>
      <family val="2"/>
    </font>
    <font>
      <b/>
      <i/>
      <sz val="8"/>
      <color indexed="8"/>
      <name val="Arial"/>
      <family val="2"/>
    </font>
    <font>
      <sz val="8"/>
      <color theme="0" tint="-0.34998626667073579"/>
      <name val="Arial"/>
      <family val="2"/>
    </font>
    <font>
      <b/>
      <sz val="10"/>
      <color theme="0" tint="-0.34998626667073579"/>
      <name val="Arial"/>
      <family val="2"/>
    </font>
    <font>
      <b/>
      <sz val="8"/>
      <color theme="0" tint="-0.34998626667073579"/>
      <name val="Arial"/>
      <family val="2"/>
    </font>
    <font>
      <b/>
      <sz val="16"/>
      <color theme="0" tint="-0.34998626667073579"/>
      <name val="Arial"/>
      <family val="2"/>
    </font>
    <font>
      <b/>
      <sz val="10"/>
      <color theme="1"/>
      <name val="Arial"/>
      <family val="2"/>
    </font>
    <font>
      <b/>
      <sz val="10"/>
      <color theme="0"/>
      <name val="Arial"/>
      <family val="2"/>
    </font>
    <font>
      <sz val="11"/>
      <color theme="1"/>
      <name val="Arial"/>
      <family val="2"/>
    </font>
    <font>
      <sz val="11"/>
      <color theme="0" tint="-0.34998626667073579"/>
      <name val="Arial"/>
      <family val="2"/>
    </font>
    <font>
      <b/>
      <sz val="14"/>
      <color rgb="FFC00000"/>
      <name val="Arial"/>
      <family val="2"/>
    </font>
    <font>
      <sz val="10"/>
      <color rgb="FFC00000"/>
      <name val="Arial"/>
      <family val="2"/>
    </font>
    <font>
      <b/>
      <sz val="9"/>
      <color indexed="8"/>
      <name val="Arial"/>
      <family val="2"/>
    </font>
    <font>
      <b/>
      <sz val="10"/>
      <color theme="0" tint="-0.499984740745262"/>
      <name val="Arial"/>
      <family val="2"/>
    </font>
    <font>
      <b/>
      <sz val="14"/>
      <name val="Calibri"/>
      <family val="2"/>
      <scheme val="minor"/>
    </font>
    <font>
      <b/>
      <sz val="10"/>
      <name val="Calibri"/>
      <family val="2"/>
      <scheme val="minor"/>
    </font>
    <font>
      <b/>
      <sz val="9"/>
      <color indexed="8"/>
      <name val="Calibri"/>
      <family val="2"/>
      <scheme val="minor"/>
    </font>
    <font>
      <sz val="10"/>
      <name val="Calibri"/>
      <family val="2"/>
      <scheme val="minor"/>
    </font>
    <font>
      <b/>
      <sz val="12"/>
      <color indexed="8"/>
      <name val="Calibri"/>
      <family val="2"/>
      <scheme val="minor"/>
    </font>
    <font>
      <b/>
      <sz val="16"/>
      <color theme="0" tint="-0.34998626667073579"/>
      <name val="Calibri"/>
      <family val="2"/>
      <scheme val="minor"/>
    </font>
    <font>
      <sz val="10"/>
      <color rgb="FFFF0000"/>
      <name val="Calibri"/>
      <family val="2"/>
      <scheme val="minor"/>
    </font>
    <font>
      <sz val="6"/>
      <name val="Calibri"/>
      <family val="2"/>
      <scheme val="minor"/>
    </font>
    <font>
      <b/>
      <sz val="16"/>
      <name val="Calibri"/>
      <family val="2"/>
      <scheme val="minor"/>
    </font>
    <font>
      <b/>
      <sz val="12"/>
      <color theme="0"/>
      <name val="Arial"/>
      <family val="2"/>
    </font>
    <font>
      <sz val="12"/>
      <color theme="0"/>
      <name val="Arial"/>
      <family val="2"/>
    </font>
    <font>
      <b/>
      <sz val="8"/>
      <color theme="0"/>
      <name val="Arial"/>
      <family val="2"/>
    </font>
    <font>
      <i/>
      <sz val="10"/>
      <color rgb="FF002060"/>
      <name val="Calibri"/>
      <family val="2"/>
      <scheme val="minor"/>
    </font>
    <font>
      <b/>
      <sz val="11"/>
      <color theme="0" tint="-0.34998626667073579"/>
      <name val="Arial"/>
      <family val="2"/>
    </font>
    <font>
      <sz val="11"/>
      <color rgb="FFFF0000"/>
      <name val="Arial"/>
      <family val="2"/>
    </font>
    <font>
      <b/>
      <sz val="11"/>
      <color indexed="8"/>
      <name val="Arial"/>
      <family val="2"/>
    </font>
    <font>
      <sz val="11"/>
      <color theme="0" tint="-0.499984740745262"/>
      <name val="Arial"/>
      <family val="2"/>
    </font>
    <font>
      <sz val="8"/>
      <name val="Calibri"/>
      <family val="2"/>
      <scheme val="minor"/>
    </font>
    <font>
      <sz val="9"/>
      <name val="Calibri"/>
      <family val="2"/>
      <scheme val="minor"/>
    </font>
    <font>
      <b/>
      <sz val="16"/>
      <name val="Arial Black"/>
      <family val="2"/>
    </font>
    <font>
      <sz val="16"/>
      <color theme="1"/>
      <name val="Arial Black"/>
      <family val="2"/>
    </font>
    <font>
      <b/>
      <sz val="9"/>
      <color rgb="FF002060"/>
      <name val="Arial Black"/>
      <family val="2"/>
    </font>
    <font>
      <b/>
      <sz val="8"/>
      <color rgb="FF002060"/>
      <name val="Arial Black"/>
      <family val="2"/>
    </font>
    <font>
      <b/>
      <sz val="6"/>
      <color rgb="FF002060"/>
      <name val="Arial Black"/>
      <family val="2"/>
    </font>
    <font>
      <b/>
      <sz val="9"/>
      <color theme="7" tint="-0.249977111117893"/>
      <name val="Arial Black"/>
      <family val="2"/>
    </font>
    <font>
      <b/>
      <sz val="8"/>
      <color theme="7" tint="-0.249977111117893"/>
      <name val="Arial Black"/>
      <family val="2"/>
    </font>
    <font>
      <b/>
      <sz val="8"/>
      <name val="Calibri"/>
      <family val="2"/>
      <scheme val="minor"/>
    </font>
    <font>
      <sz val="9"/>
      <name val="Times New Roman"/>
      <family val="1"/>
    </font>
    <font>
      <b/>
      <sz val="9"/>
      <color theme="1"/>
      <name val="Times New Roman"/>
      <family val="1"/>
    </font>
    <font>
      <sz val="9"/>
      <color theme="1"/>
      <name val="Times New Roman"/>
      <family val="1"/>
    </font>
    <font>
      <b/>
      <sz val="9"/>
      <name val="Times New Roman"/>
      <family val="1"/>
    </font>
    <font>
      <sz val="10"/>
      <color rgb="FF2E475D"/>
      <name val="Arial"/>
      <family val="2"/>
    </font>
    <font>
      <sz val="9"/>
      <color rgb="FF2E475D"/>
      <name val="Inherit"/>
    </font>
    <font>
      <sz val="8"/>
      <name val="Times New Roman"/>
      <family val="1"/>
    </font>
    <font>
      <b/>
      <sz val="8"/>
      <color theme="1"/>
      <name val="Times New Roman"/>
      <family val="1"/>
    </font>
    <font>
      <sz val="8"/>
      <color theme="1"/>
      <name val="Times New Roman"/>
      <family val="1"/>
    </font>
    <font>
      <sz val="6"/>
      <name val="Times New Roman"/>
      <family val="1"/>
    </font>
    <font>
      <sz val="8"/>
      <color rgb="FF000000"/>
      <name val="Times New Roman"/>
      <family val="1"/>
    </font>
    <font>
      <b/>
      <sz val="8"/>
      <name val="Times New Roman"/>
      <family val="1"/>
    </font>
    <font>
      <b/>
      <sz val="8"/>
      <color rgb="FFFF0000"/>
      <name val="Times New Roman"/>
      <family val="1"/>
    </font>
    <font>
      <sz val="8"/>
      <color theme="8" tint="-0.499984740745262"/>
      <name val="Times New Roman"/>
      <family val="1"/>
    </font>
    <font>
      <sz val="8"/>
      <color theme="1" tint="4.9989318521683403E-2"/>
      <name val="Times New Roman"/>
      <family val="1"/>
    </font>
    <font>
      <sz val="12"/>
      <name val="Times New Roman"/>
      <family val="1"/>
    </font>
    <font>
      <b/>
      <sz val="12"/>
      <name val="Times New Roman"/>
      <family val="1"/>
    </font>
    <font>
      <b/>
      <sz val="14"/>
      <name val="Times New Roman"/>
      <family val="1"/>
    </font>
    <font>
      <b/>
      <sz val="12"/>
      <color theme="1"/>
      <name val="Times New Roman"/>
      <family val="1"/>
    </font>
    <font>
      <sz val="14"/>
      <name val="Times New Roman"/>
      <family val="1"/>
    </font>
    <font>
      <sz val="8"/>
      <color rgb="FFFF0000"/>
      <name val="Times New Roman"/>
      <family val="1"/>
    </font>
    <font>
      <b/>
      <sz val="9"/>
      <color rgb="FF000000"/>
      <name val="Times New Roman"/>
      <family val="1"/>
    </font>
    <font>
      <sz val="9"/>
      <color rgb="FF000000"/>
      <name val="Times New Roman"/>
      <family val="1"/>
    </font>
    <font>
      <sz val="11"/>
      <name val="Times New Roman"/>
      <family val="1"/>
    </font>
    <font>
      <b/>
      <sz val="11"/>
      <color rgb="FF00B050"/>
      <name val="Times New Roman"/>
      <family val="1"/>
    </font>
    <font>
      <sz val="11"/>
      <color rgb="FF00B050"/>
      <name val="Times New Roman"/>
      <family val="1"/>
    </font>
    <font>
      <b/>
      <sz val="11"/>
      <color rgb="FFFF0000"/>
      <name val="Times New Roman"/>
      <family val="1"/>
    </font>
    <font>
      <b/>
      <sz val="11"/>
      <name val="Times New Roman"/>
      <family val="1"/>
    </font>
    <font>
      <b/>
      <sz val="11"/>
      <color rgb="FFFF9933"/>
      <name val="Times New Roman"/>
      <family val="1"/>
    </font>
    <font>
      <sz val="18"/>
      <color rgb="FF000000"/>
      <name val="Arial"/>
      <family val="2"/>
    </font>
  </fonts>
  <fills count="25">
    <fill>
      <patternFill patternType="none"/>
    </fill>
    <fill>
      <patternFill patternType="gray125"/>
    </fill>
    <fill>
      <patternFill patternType="solid">
        <fgColor indexed="41"/>
        <bgColor indexed="64"/>
      </patternFill>
    </fill>
    <fill>
      <patternFill patternType="solid">
        <fgColor indexed="52"/>
        <bgColor indexed="64"/>
      </patternFill>
    </fill>
    <fill>
      <patternFill patternType="solid">
        <fgColor indexed="43"/>
        <bgColor indexed="64"/>
      </patternFill>
    </fill>
    <fill>
      <patternFill patternType="solid">
        <fgColor rgb="FFFF9933"/>
        <bgColor indexed="64"/>
      </patternFill>
    </fill>
    <fill>
      <patternFill patternType="solid">
        <fgColor rgb="FFFFFF00"/>
        <bgColor indexed="64"/>
      </patternFill>
    </fill>
    <fill>
      <patternFill patternType="solid">
        <fgColor rgb="FF00B0F0"/>
        <bgColor indexed="64"/>
      </patternFill>
    </fill>
    <fill>
      <patternFill patternType="solid">
        <fgColor rgb="FFFFFF99"/>
        <bgColor indexed="64"/>
      </patternFill>
    </fill>
    <fill>
      <patternFill patternType="solid">
        <fgColor rgb="FFC00000"/>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theme="1" tint="4.9989318521683403E-2"/>
        <bgColor indexed="64"/>
      </patternFill>
    </fill>
    <fill>
      <patternFill patternType="solid">
        <fgColor rgb="FF1B4D6B"/>
        <bgColor indexed="64"/>
      </patternFill>
    </fill>
    <fill>
      <patternFill patternType="solid">
        <fgColor theme="0" tint="-4.9989318521683403E-2"/>
        <bgColor indexed="64"/>
      </patternFill>
    </fill>
    <fill>
      <patternFill patternType="solid">
        <fgColor theme="0"/>
        <bgColor indexed="8"/>
      </patternFill>
    </fill>
    <fill>
      <patternFill patternType="solid">
        <fgColor theme="0" tint="-0.14999847407452621"/>
        <bgColor indexed="64"/>
      </patternFill>
    </fill>
    <fill>
      <patternFill patternType="solid">
        <fgColor theme="3" tint="0.59999389629810485"/>
        <bgColor indexed="64"/>
      </patternFill>
    </fill>
    <fill>
      <patternFill patternType="solid">
        <fgColor indexed="42"/>
        <bgColor indexed="64"/>
      </patternFill>
    </fill>
    <fill>
      <patternFill patternType="solid">
        <fgColor theme="7" tint="0.39997558519241921"/>
        <bgColor indexed="64"/>
      </patternFill>
    </fill>
    <fill>
      <patternFill patternType="solid">
        <fgColor rgb="FFFF9900"/>
        <bgColor indexed="64"/>
      </patternFill>
    </fill>
    <fill>
      <patternFill patternType="solid">
        <fgColor rgb="FF00B050"/>
        <bgColor indexed="64"/>
      </patternFill>
    </fill>
    <fill>
      <patternFill patternType="solid">
        <fgColor rgb="FF92D050"/>
        <bgColor indexed="64"/>
      </patternFill>
    </fill>
    <fill>
      <patternFill patternType="solid">
        <fgColor rgb="FFFFC000"/>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bottom style="thin">
        <color indexed="64"/>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s>
  <cellStyleXfs count="12">
    <xf numFmtId="0" fontId="0" fillId="0" borderId="0"/>
    <xf numFmtId="0" fontId="6" fillId="0" borderId="0"/>
    <xf numFmtId="0" fontId="6" fillId="0" borderId="0"/>
    <xf numFmtId="0" fontId="5" fillId="0" borderId="0"/>
    <xf numFmtId="0" fontId="8" fillId="0" borderId="0"/>
    <xf numFmtId="0" fontId="4" fillId="0" borderId="0"/>
    <xf numFmtId="0" fontId="4" fillId="0" borderId="0"/>
    <xf numFmtId="0" fontId="8" fillId="0" borderId="0"/>
    <xf numFmtId="0" fontId="3" fillId="0" borderId="0"/>
    <xf numFmtId="0" fontId="3" fillId="0" borderId="0"/>
    <xf numFmtId="0" fontId="2" fillId="0" borderId="0"/>
    <xf numFmtId="0" fontId="1" fillId="0" borderId="0"/>
  </cellStyleXfs>
  <cellXfs count="448">
    <xf numFmtId="0" fontId="0" fillId="0" borderId="0" xfId="0"/>
    <xf numFmtId="0" fontId="0" fillId="0" borderId="0" xfId="0" applyAlignment="1">
      <alignment vertical="top" wrapText="1"/>
    </xf>
    <xf numFmtId="0" fontId="8" fillId="0" borderId="0" xfId="0" applyFont="1" applyAlignment="1">
      <alignment vertical="top" wrapText="1"/>
    </xf>
    <xf numFmtId="0" fontId="0" fillId="0" borderId="0" xfId="0" applyAlignment="1">
      <alignment horizontal="left" vertical="center"/>
    </xf>
    <xf numFmtId="0" fontId="9" fillId="3" borderId="1" xfId="0" applyFont="1" applyFill="1" applyBorder="1" applyAlignment="1">
      <alignment vertical="top" wrapText="1"/>
    </xf>
    <xf numFmtId="0" fontId="9" fillId="5" borderId="1" xfId="2" applyFont="1" applyFill="1" applyBorder="1" applyAlignment="1">
      <alignment horizontal="left" vertical="top" wrapText="1"/>
    </xf>
    <xf numFmtId="0" fontId="0" fillId="0" borderId="1" xfId="0" applyBorder="1" applyAlignment="1">
      <alignment horizontal="center" vertical="center" wrapText="1"/>
    </xf>
    <xf numFmtId="0" fontId="9" fillId="0" borderId="1" xfId="0" applyFont="1" applyBorder="1" applyAlignment="1">
      <alignment horizontal="left" vertical="center" wrapText="1"/>
    </xf>
    <xf numFmtId="0" fontId="9" fillId="0" borderId="1" xfId="0" applyFont="1" applyBorder="1" applyAlignment="1">
      <alignment horizontal="center" vertical="center" wrapText="1"/>
    </xf>
    <xf numFmtId="0" fontId="18" fillId="4" borderId="1" xfId="1" applyFont="1" applyFill="1" applyBorder="1" applyAlignment="1">
      <alignment horizontal="center" vertical="center" wrapText="1"/>
    </xf>
    <xf numFmtId="0" fontId="19" fillId="0" borderId="1" xfId="0" applyFont="1" applyBorder="1" applyAlignment="1">
      <alignment horizontal="center" vertical="center"/>
    </xf>
    <xf numFmtId="0" fontId="21" fillId="0" borderId="1" xfId="0" applyFont="1" applyBorder="1" applyAlignment="1">
      <alignment horizontal="center" vertical="center" wrapText="1"/>
    </xf>
    <xf numFmtId="0" fontId="0" fillId="0" borderId="1" xfId="0" applyBorder="1" applyAlignment="1">
      <alignment vertical="center" wrapText="1"/>
    </xf>
    <xf numFmtId="0" fontId="0" fillId="0" borderId="1" xfId="0" applyBorder="1" applyAlignment="1">
      <alignment vertical="top" wrapText="1"/>
    </xf>
    <xf numFmtId="0" fontId="20" fillId="0" borderId="1" xfId="0" applyFont="1" applyBorder="1" applyAlignment="1">
      <alignment horizontal="center" vertical="center" wrapText="1"/>
    </xf>
    <xf numFmtId="0" fontId="11" fillId="3" borderId="1" xfId="1" applyFont="1" applyFill="1" applyBorder="1" applyAlignment="1">
      <alignment horizontal="left" vertical="top" wrapText="1"/>
    </xf>
    <xf numFmtId="0" fontId="7" fillId="0" borderId="1" xfId="1" applyFont="1" applyBorder="1" applyAlignment="1">
      <alignment horizontal="center" vertical="center"/>
    </xf>
    <xf numFmtId="0" fontId="8" fillId="0" borderId="1" xfId="0" applyFont="1" applyBorder="1" applyAlignment="1">
      <alignment horizontal="center" vertical="center" wrapText="1"/>
    </xf>
    <xf numFmtId="0" fontId="7" fillId="0" borderId="1" xfId="0" applyFont="1" applyBorder="1" applyAlignment="1">
      <alignment horizontal="left" vertical="center" wrapText="1"/>
    </xf>
    <xf numFmtId="0" fontId="13" fillId="0" borderId="1" xfId="0" applyFont="1" applyBorder="1" applyAlignment="1">
      <alignment horizontal="center" vertical="center" wrapText="1"/>
    </xf>
    <xf numFmtId="0" fontId="8" fillId="0" borderId="1" xfId="0" applyFont="1" applyBorder="1" applyAlignment="1">
      <alignment vertical="center" wrapText="1"/>
    </xf>
    <xf numFmtId="0" fontId="7" fillId="0" borderId="1" xfId="0" applyFont="1" applyBorder="1" applyAlignment="1">
      <alignment horizontal="center" vertical="center" wrapText="1"/>
    </xf>
    <xf numFmtId="0" fontId="23" fillId="0" borderId="1" xfId="0" applyFont="1" applyBorder="1" applyAlignment="1">
      <alignment vertical="center" wrapText="1"/>
    </xf>
    <xf numFmtId="0" fontId="23" fillId="0" borderId="1" xfId="0" applyFont="1" applyBorder="1" applyAlignment="1">
      <alignment horizontal="center" vertical="center" wrapText="1"/>
    </xf>
    <xf numFmtId="0" fontId="9" fillId="0" borderId="1" xfId="2" applyFont="1" applyBorder="1" applyAlignment="1">
      <alignment horizontal="left" vertical="top" wrapText="1"/>
    </xf>
    <xf numFmtId="0" fontId="23" fillId="0" borderId="5" xfId="0" applyFont="1" applyBorder="1" applyAlignment="1">
      <alignment horizontal="center" vertical="center" wrapText="1"/>
    </xf>
    <xf numFmtId="0" fontId="9" fillId="0" borderId="1" xfId="2" applyFont="1" applyBorder="1" applyAlignment="1">
      <alignment horizontal="center" vertical="center" wrapText="1"/>
    </xf>
    <xf numFmtId="0" fontId="9" fillId="0" borderId="1" xfId="0" applyFont="1" applyBorder="1" applyAlignment="1">
      <alignment vertical="center" wrapText="1"/>
    </xf>
    <xf numFmtId="0" fontId="9" fillId="0" borderId="0" xfId="0" applyFont="1" applyAlignment="1">
      <alignment vertical="center" wrapText="1"/>
    </xf>
    <xf numFmtId="0" fontId="0" fillId="0" borderId="3" xfId="0" applyBorder="1" applyAlignment="1">
      <alignment horizontal="center" vertical="center" wrapText="1"/>
    </xf>
    <xf numFmtId="0" fontId="0" fillId="0" borderId="2" xfId="0" applyBorder="1" applyAlignment="1">
      <alignment vertical="top" wrapText="1"/>
    </xf>
    <xf numFmtId="0" fontId="13" fillId="0" borderId="2" xfId="0" applyFont="1" applyBorder="1" applyAlignment="1">
      <alignment horizontal="center" vertical="center" wrapText="1"/>
    </xf>
    <xf numFmtId="0" fontId="13" fillId="6" borderId="1" xfId="2" applyFont="1" applyFill="1" applyBorder="1" applyAlignment="1">
      <alignment horizontal="center" vertical="center" wrapText="1"/>
    </xf>
    <xf numFmtId="0" fontId="9" fillId="6"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9" fillId="6" borderId="1" xfId="2" applyFont="1" applyFill="1" applyBorder="1" applyAlignment="1">
      <alignment horizontal="left" vertical="center" wrapText="1"/>
    </xf>
    <xf numFmtId="0" fontId="9" fillId="6" borderId="1" xfId="2" applyFont="1" applyFill="1" applyBorder="1" applyAlignment="1">
      <alignment horizontal="left" vertical="top" wrapText="1"/>
    </xf>
    <xf numFmtId="0" fontId="19" fillId="6" borderId="1" xfId="0" applyFont="1" applyFill="1" applyBorder="1" applyAlignment="1">
      <alignment horizontal="center" vertical="top"/>
    </xf>
    <xf numFmtId="0" fontId="8" fillId="6" borderId="0" xfId="0" applyFont="1" applyFill="1" applyAlignment="1">
      <alignment horizontal="left" vertical="top" wrapText="1"/>
    </xf>
    <xf numFmtId="0" fontId="11" fillId="6" borderId="1" xfId="2" applyFont="1" applyFill="1" applyBorder="1" applyAlignment="1">
      <alignment horizontal="left" vertical="center" wrapText="1"/>
    </xf>
    <xf numFmtId="0" fontId="19" fillId="6" borderId="1" xfId="0" applyFont="1" applyFill="1" applyBorder="1" applyAlignment="1">
      <alignment horizontal="center" vertical="center"/>
    </xf>
    <xf numFmtId="0" fontId="16" fillId="9" borderId="1" xfId="1" applyFont="1" applyFill="1" applyBorder="1" applyAlignment="1">
      <alignment horizontal="center" vertical="center"/>
    </xf>
    <xf numFmtId="0" fontId="7" fillId="9" borderId="5" xfId="0" applyFont="1" applyFill="1" applyBorder="1" applyAlignment="1">
      <alignment horizontal="left" vertical="center" wrapText="1"/>
    </xf>
    <xf numFmtId="0" fontId="9" fillId="9" borderId="1" xfId="0" applyFont="1" applyFill="1" applyBorder="1" applyAlignment="1">
      <alignment horizontal="left" vertical="center" wrapText="1"/>
    </xf>
    <xf numFmtId="0" fontId="8" fillId="9" borderId="1" xfId="0" applyFont="1" applyFill="1" applyBorder="1" applyAlignment="1">
      <alignment horizontal="center" vertical="center" wrapText="1"/>
    </xf>
    <xf numFmtId="0" fontId="13" fillId="9" borderId="1" xfId="0" applyFont="1" applyFill="1" applyBorder="1" applyAlignment="1">
      <alignment horizontal="center" vertical="center" wrapText="1"/>
    </xf>
    <xf numFmtId="0" fontId="21" fillId="9" borderId="1" xfId="0" applyFont="1" applyFill="1" applyBorder="1" applyAlignment="1">
      <alignment horizontal="center" vertical="center" wrapText="1"/>
    </xf>
    <xf numFmtId="0" fontId="13" fillId="9" borderId="1" xfId="1" applyFont="1" applyFill="1" applyBorder="1" applyAlignment="1">
      <alignment horizontal="center" vertical="center" wrapText="1"/>
    </xf>
    <xf numFmtId="0" fontId="9" fillId="9" borderId="1" xfId="0" applyFont="1" applyFill="1" applyBorder="1" applyAlignment="1">
      <alignment horizontal="center" vertical="center" wrapText="1"/>
    </xf>
    <xf numFmtId="0" fontId="9" fillId="9" borderId="1" xfId="0" applyFont="1" applyFill="1" applyBorder="1" applyAlignment="1">
      <alignment vertical="top" wrapText="1"/>
    </xf>
    <xf numFmtId="0" fontId="9" fillId="9" borderId="1" xfId="0" applyFont="1" applyFill="1" applyBorder="1" applyAlignment="1">
      <alignment vertical="center" wrapText="1"/>
    </xf>
    <xf numFmtId="0" fontId="9" fillId="9" borderId="1" xfId="2" applyFont="1" applyFill="1" applyBorder="1" applyAlignment="1">
      <alignment horizontal="center" vertical="center" wrapText="1"/>
    </xf>
    <xf numFmtId="0" fontId="19" fillId="9" borderId="1" xfId="0" applyFont="1" applyFill="1" applyBorder="1" applyAlignment="1">
      <alignment horizontal="center" vertical="center"/>
    </xf>
    <xf numFmtId="0" fontId="8" fillId="9" borderId="0" xfId="0" applyFont="1" applyFill="1" applyAlignment="1">
      <alignment vertical="top" wrapText="1"/>
    </xf>
    <xf numFmtId="0" fontId="10" fillId="2" borderId="1" xfId="1" applyFont="1" applyFill="1" applyBorder="1" applyAlignment="1">
      <alignment horizontal="center" vertical="center" wrapText="1"/>
    </xf>
    <xf numFmtId="0" fontId="22" fillId="8" borderId="1" xfId="1" applyFont="1" applyFill="1" applyBorder="1" applyAlignment="1">
      <alignment horizontal="center" vertical="center" wrapText="1"/>
    </xf>
    <xf numFmtId="0" fontId="7" fillId="10" borderId="1" xfId="1" applyFont="1" applyFill="1" applyBorder="1" applyAlignment="1">
      <alignment horizontal="center" vertical="center" wrapText="1"/>
    </xf>
    <xf numFmtId="0" fontId="8" fillId="10" borderId="1" xfId="2" applyFont="1" applyFill="1" applyBorder="1" applyAlignment="1">
      <alignment horizontal="left" vertical="center" wrapText="1"/>
    </xf>
    <xf numFmtId="0" fontId="8" fillId="10" borderId="1" xfId="2" applyFont="1" applyFill="1" applyBorder="1" applyAlignment="1">
      <alignment horizontal="center" vertical="center" wrapText="1"/>
    </xf>
    <xf numFmtId="0" fontId="8" fillId="10" borderId="1" xfId="2" quotePrefix="1" applyFont="1" applyFill="1" applyBorder="1" applyAlignment="1">
      <alignment horizontal="left" vertical="center" wrapText="1"/>
    </xf>
    <xf numFmtId="0" fontId="8" fillId="0" borderId="1" xfId="2" quotePrefix="1" applyFont="1" applyBorder="1" applyAlignment="1">
      <alignment horizontal="left" vertical="center" wrapText="1"/>
    </xf>
    <xf numFmtId="0" fontId="8" fillId="0" borderId="0" xfId="0" applyFont="1"/>
    <xf numFmtId="0" fontId="26" fillId="0" borderId="0" xfId="0" applyFont="1" applyAlignment="1">
      <alignment vertical="top" wrapText="1"/>
    </xf>
    <xf numFmtId="0" fontId="30" fillId="0" borderId="1" xfId="1" applyFont="1" applyBorder="1" applyAlignment="1">
      <alignment horizontal="center" vertical="center" wrapText="1"/>
    </xf>
    <xf numFmtId="0" fontId="28" fillId="0" borderId="1" xfId="2" applyFont="1" applyBorder="1" applyAlignment="1">
      <alignment vertical="top" wrapText="1"/>
    </xf>
    <xf numFmtId="0" fontId="28" fillId="0" borderId="1" xfId="2" quotePrefix="1" applyFont="1" applyBorder="1" applyAlignment="1">
      <alignment horizontal="left" vertical="top" wrapText="1"/>
    </xf>
    <xf numFmtId="0" fontId="29" fillId="13" borderId="0" xfId="0" applyFont="1" applyFill="1" applyAlignment="1">
      <alignment horizontal="center" vertical="center"/>
    </xf>
    <xf numFmtId="0" fontId="7" fillId="7" borderId="8" xfId="0" applyFont="1" applyFill="1" applyBorder="1" applyAlignment="1">
      <alignment horizontal="left" vertical="top"/>
    </xf>
    <xf numFmtId="0" fontId="7" fillId="8" borderId="8" xfId="0" applyFont="1" applyFill="1" applyBorder="1" applyAlignment="1">
      <alignment horizontal="left" vertical="top" wrapText="1"/>
    </xf>
    <xf numFmtId="0" fontId="7" fillId="11" borderId="8" xfId="0" applyFont="1" applyFill="1" applyBorder="1" applyAlignment="1">
      <alignment horizontal="left" vertical="top"/>
    </xf>
    <xf numFmtId="0" fontId="7" fillId="5" borderId="8" xfId="0" applyFont="1" applyFill="1" applyBorder="1" applyAlignment="1">
      <alignment horizontal="left" vertical="top"/>
    </xf>
    <xf numFmtId="0" fontId="29" fillId="12" borderId="0" xfId="0" applyFont="1" applyFill="1" applyAlignment="1">
      <alignment horizontal="center" vertical="center"/>
    </xf>
    <xf numFmtId="0" fontId="32" fillId="13" borderId="0" xfId="0" applyFont="1" applyFill="1" applyAlignment="1">
      <alignment horizontal="center" vertical="center"/>
    </xf>
    <xf numFmtId="0" fontId="29" fillId="13" borderId="0" xfId="0" applyFont="1" applyFill="1" applyAlignment="1">
      <alignment horizontal="left" vertical="center"/>
    </xf>
    <xf numFmtId="0" fontId="29" fillId="0" borderId="0" xfId="0" applyFont="1" applyAlignment="1">
      <alignment horizontal="left" vertical="top" wrapText="1"/>
    </xf>
    <xf numFmtId="165" fontId="29" fillId="0" borderId="0" xfId="0" applyNumberFormat="1" applyFont="1" applyAlignment="1">
      <alignment horizontal="left" vertical="top" wrapText="1"/>
    </xf>
    <xf numFmtId="0" fontId="29" fillId="0" borderId="0" xfId="0" applyFont="1" applyAlignment="1">
      <alignment horizontal="left" vertical="top"/>
    </xf>
    <xf numFmtId="0" fontId="25" fillId="0" borderId="8" xfId="1" applyFont="1" applyBorder="1" applyAlignment="1">
      <alignment horizontal="left" vertical="top" wrapText="1"/>
    </xf>
    <xf numFmtId="0" fontId="33" fillId="12" borderId="8" xfId="0" applyFont="1" applyFill="1" applyBorder="1" applyAlignment="1">
      <alignment horizontal="left" vertical="center"/>
    </xf>
    <xf numFmtId="0" fontId="34" fillId="0" borderId="10" xfId="1" applyFont="1" applyBorder="1" applyAlignment="1">
      <alignment horizontal="left" vertical="top" wrapText="1"/>
    </xf>
    <xf numFmtId="0" fontId="34" fillId="0" borderId="0" xfId="1" applyFont="1" applyAlignment="1">
      <alignment horizontal="left" vertical="top" wrapText="1"/>
    </xf>
    <xf numFmtId="0" fontId="35" fillId="0" borderId="10" xfId="1" applyFont="1" applyBorder="1" applyAlignment="1">
      <alignment horizontal="left" vertical="top" wrapText="1"/>
    </xf>
    <xf numFmtId="0" fontId="35" fillId="0" borderId="0" xfId="1" applyFont="1" applyAlignment="1">
      <alignment horizontal="left" vertical="top" wrapText="1"/>
    </xf>
    <xf numFmtId="0" fontId="33" fillId="12" borderId="10" xfId="0" applyFont="1" applyFill="1" applyBorder="1" applyAlignment="1">
      <alignment horizontal="left" vertical="center"/>
    </xf>
    <xf numFmtId="0" fontId="7" fillId="7" borderId="1" xfId="0" applyFont="1" applyFill="1" applyBorder="1" applyAlignment="1">
      <alignment horizontal="center" vertical="center" wrapText="1"/>
    </xf>
    <xf numFmtId="0" fontId="10" fillId="15" borderId="1" xfId="1" applyFont="1" applyFill="1" applyBorder="1" applyAlignment="1">
      <alignment horizontal="center" vertical="center" wrapText="1"/>
    </xf>
    <xf numFmtId="0" fontId="38" fillId="15" borderId="1" xfId="1" applyFont="1" applyFill="1" applyBorder="1" applyAlignment="1">
      <alignment horizontal="center" vertical="center" wrapText="1"/>
    </xf>
    <xf numFmtId="0" fontId="18" fillId="10" borderId="1" xfId="1" applyFont="1" applyFill="1" applyBorder="1" applyAlignment="1">
      <alignment horizontal="left" vertical="center" wrapText="1"/>
    </xf>
    <xf numFmtId="0" fontId="10" fillId="10" borderId="1" xfId="1" applyFont="1" applyFill="1" applyBorder="1" applyAlignment="1">
      <alignment horizontal="center" vertical="center" wrapText="1"/>
    </xf>
    <xf numFmtId="0" fontId="9" fillId="16" borderId="1" xfId="1" applyFont="1" applyFill="1" applyBorder="1" applyAlignment="1">
      <alignment horizontal="left" vertical="top" wrapText="1"/>
    </xf>
    <xf numFmtId="0" fontId="39" fillId="0" borderId="1" xfId="2" applyFont="1" applyBorder="1" applyAlignment="1">
      <alignment vertical="top" wrapText="1"/>
    </xf>
    <xf numFmtId="0" fontId="7" fillId="10" borderId="1" xfId="0" applyFont="1" applyFill="1" applyBorder="1" applyAlignment="1">
      <alignment horizontal="center" vertical="top" wrapText="1"/>
    </xf>
    <xf numFmtId="0" fontId="10" fillId="10" borderId="1" xfId="1" applyFont="1" applyFill="1" applyBorder="1" applyAlignment="1">
      <alignment horizontal="center" vertical="top" wrapText="1"/>
    </xf>
    <xf numFmtId="0" fontId="8" fillId="16" borderId="1" xfId="1" applyFont="1" applyFill="1" applyBorder="1" applyAlignment="1">
      <alignment horizontal="left" vertical="top" wrapText="1"/>
    </xf>
    <xf numFmtId="0" fontId="12" fillId="10" borderId="1" xfId="1" applyFont="1" applyFill="1" applyBorder="1" applyAlignment="1">
      <alignment horizontal="left" vertical="top" wrapText="1"/>
    </xf>
    <xf numFmtId="0" fontId="31" fillId="17" borderId="1" xfId="2" applyFont="1" applyFill="1" applyBorder="1" applyAlignment="1">
      <alignment horizontal="center" vertical="center" wrapText="1"/>
    </xf>
    <xf numFmtId="0" fontId="38" fillId="17" borderId="1" xfId="1" applyFont="1" applyFill="1" applyBorder="1" applyAlignment="1">
      <alignment horizontal="center" vertical="center" wrapText="1"/>
    </xf>
    <xf numFmtId="0" fontId="11" fillId="17" borderId="1" xfId="2" applyFont="1" applyFill="1" applyBorder="1" applyAlignment="1">
      <alignment horizontal="center" vertical="center" wrapText="1"/>
    </xf>
    <xf numFmtId="0" fontId="40" fillId="0" borderId="0" xfId="0" applyFont="1" applyAlignment="1">
      <alignment horizontal="center" vertical="top" wrapText="1"/>
    </xf>
    <xf numFmtId="0" fontId="41" fillId="0" borderId="0" xfId="0" applyFont="1" applyAlignment="1">
      <alignment horizontal="center" vertical="top" wrapText="1"/>
    </xf>
    <xf numFmtId="0" fontId="43" fillId="0" borderId="0" xfId="0" applyFont="1" applyAlignment="1">
      <alignment horizontal="center" vertical="top" wrapText="1"/>
    </xf>
    <xf numFmtId="0" fontId="43" fillId="0" borderId="0" xfId="0" applyFont="1" applyAlignment="1">
      <alignment vertical="top" wrapText="1"/>
    </xf>
    <xf numFmtId="0" fontId="45" fillId="17" borderId="1" xfId="2" applyFont="1" applyFill="1" applyBorder="1" applyAlignment="1">
      <alignment horizontal="center" vertical="center" wrapText="1"/>
    </xf>
    <xf numFmtId="0" fontId="42" fillId="17" borderId="1" xfId="1" applyFont="1" applyFill="1" applyBorder="1" applyAlignment="1">
      <alignment horizontal="center" vertical="center" wrapText="1"/>
    </xf>
    <xf numFmtId="0" fontId="43" fillId="0" borderId="0" xfId="0" applyFont="1" applyAlignment="1">
      <alignment horizontal="left" vertical="top" wrapText="1"/>
    </xf>
    <xf numFmtId="0" fontId="41" fillId="10" borderId="1" xfId="1" applyFont="1" applyFill="1" applyBorder="1" applyAlignment="1">
      <alignment horizontal="center" vertical="center" wrapText="1"/>
    </xf>
    <xf numFmtId="0" fontId="43" fillId="10" borderId="1" xfId="2" applyFont="1" applyFill="1" applyBorder="1" applyAlignment="1">
      <alignment horizontal="left" vertical="center" wrapText="1"/>
    </xf>
    <xf numFmtId="0" fontId="43" fillId="10" borderId="1" xfId="2" applyFont="1" applyFill="1" applyBorder="1" applyAlignment="1">
      <alignment horizontal="center" vertical="center" wrapText="1"/>
    </xf>
    <xf numFmtId="0" fontId="43" fillId="10" borderId="1" xfId="2" quotePrefix="1" applyFont="1" applyFill="1" applyBorder="1" applyAlignment="1">
      <alignment horizontal="left" vertical="center" wrapText="1"/>
    </xf>
    <xf numFmtId="0" fontId="46" fillId="10" borderId="1" xfId="1" applyFont="1" applyFill="1" applyBorder="1" applyAlignment="1">
      <alignment horizontal="left" vertical="top" wrapText="1"/>
    </xf>
    <xf numFmtId="0" fontId="43" fillId="0" borderId="1" xfId="2" quotePrefix="1" applyFont="1" applyBorder="1" applyAlignment="1">
      <alignment horizontal="left" vertical="center" wrapText="1"/>
    </xf>
    <xf numFmtId="0" fontId="46" fillId="10" borderId="0" xfId="0" applyFont="1" applyFill="1" applyAlignment="1">
      <alignment horizontal="left" vertical="top" wrapText="1"/>
    </xf>
    <xf numFmtId="0" fontId="43" fillId="10" borderId="0" xfId="0" applyFont="1" applyFill="1" applyAlignment="1">
      <alignment horizontal="center" vertical="top" wrapText="1"/>
    </xf>
    <xf numFmtId="0" fontId="43" fillId="0" borderId="0" xfId="0" applyFont="1" applyAlignment="1">
      <alignment horizontal="center" vertical="center" wrapText="1"/>
    </xf>
    <xf numFmtId="0" fontId="43" fillId="0" borderId="0" xfId="0" applyFont="1" applyAlignment="1">
      <alignment vertical="center" wrapText="1"/>
    </xf>
    <xf numFmtId="0" fontId="43" fillId="0" borderId="0" xfId="0" applyFont="1" applyAlignment="1">
      <alignment horizontal="left" vertical="center" wrapText="1"/>
    </xf>
    <xf numFmtId="0" fontId="47" fillId="0" borderId="0" xfId="0" applyFont="1" applyAlignment="1">
      <alignment horizontal="center" vertical="center" wrapText="1"/>
    </xf>
    <xf numFmtId="0" fontId="48" fillId="0" borderId="0" xfId="0" applyFont="1" applyAlignment="1">
      <alignment horizontal="center" vertical="center" wrapText="1"/>
    </xf>
    <xf numFmtId="0" fontId="51" fillId="14" borderId="1" xfId="1" applyFont="1" applyFill="1" applyBorder="1" applyAlignment="1">
      <alignment horizontal="center" vertical="top" wrapText="1"/>
    </xf>
    <xf numFmtId="0" fontId="43" fillId="0" borderId="0" xfId="0" applyFont="1" applyAlignment="1">
      <alignment vertical="center"/>
    </xf>
    <xf numFmtId="0" fontId="52" fillId="0" borderId="0" xfId="0" applyFont="1" applyAlignment="1">
      <alignment vertical="center"/>
    </xf>
    <xf numFmtId="0" fontId="43" fillId="0" borderId="10" xfId="0" applyFont="1" applyBorder="1" applyAlignment="1">
      <alignment vertical="center" wrapText="1"/>
    </xf>
    <xf numFmtId="0" fontId="53" fillId="17" borderId="1" xfId="2" applyFont="1" applyFill="1" applyBorder="1" applyAlignment="1">
      <alignment horizontal="center" vertical="center" wrapText="1"/>
    </xf>
    <xf numFmtId="0" fontId="54" fillId="17" borderId="1" xfId="2" applyFont="1" applyFill="1" applyBorder="1" applyAlignment="1">
      <alignment horizontal="center" vertical="center" wrapText="1"/>
    </xf>
    <xf numFmtId="0" fontId="55" fillId="17" borderId="1" xfId="1" applyFont="1" applyFill="1" applyBorder="1" applyAlignment="1">
      <alignment horizontal="center" vertical="center" wrapText="1"/>
    </xf>
    <xf numFmtId="0" fontId="49" fillId="14" borderId="1" xfId="0" applyFont="1" applyFill="1" applyBorder="1" applyAlignment="1">
      <alignment horizontal="center" vertical="center" wrapText="1"/>
    </xf>
    <xf numFmtId="0" fontId="34" fillId="0" borderId="9" xfId="1" applyFont="1" applyBorder="1" applyAlignment="1">
      <alignment horizontal="left" vertical="top" wrapText="1"/>
    </xf>
    <xf numFmtId="0" fontId="39" fillId="6" borderId="1" xfId="2" applyFont="1" applyFill="1" applyBorder="1" applyAlignment="1">
      <alignment vertical="top" wrapText="1"/>
    </xf>
    <xf numFmtId="0" fontId="43" fillId="0" borderId="0" xfId="0" applyFont="1"/>
    <xf numFmtId="0" fontId="43" fillId="0" borderId="0" xfId="0" applyFont="1" applyAlignment="1">
      <alignment wrapText="1"/>
    </xf>
    <xf numFmtId="0" fontId="57" fillId="0" borderId="0" xfId="0" applyFont="1"/>
    <xf numFmtId="0" fontId="58" fillId="0" borderId="0" xfId="0" applyFont="1"/>
    <xf numFmtId="0" fontId="61" fillId="0" borderId="30" xfId="9" applyFont="1" applyBorder="1" applyAlignment="1">
      <alignment horizontal="center" vertical="center" wrapText="1" readingOrder="1"/>
    </xf>
    <xf numFmtId="0" fontId="62" fillId="0" borderId="21" xfId="9" applyFont="1" applyBorder="1" applyAlignment="1">
      <alignment horizontal="center" vertical="center" wrapText="1" readingOrder="1"/>
    </xf>
    <xf numFmtId="0" fontId="61" fillId="0" borderId="13" xfId="9" applyFont="1" applyBorder="1" applyAlignment="1">
      <alignment horizontal="center" vertical="center" wrapText="1" readingOrder="1"/>
    </xf>
    <xf numFmtId="0" fontId="61" fillId="0" borderId="7" xfId="9" applyFont="1" applyBorder="1" applyAlignment="1">
      <alignment horizontal="center" vertical="center" wrapText="1" readingOrder="1"/>
    </xf>
    <xf numFmtId="0" fontId="64" fillId="0" borderId="13" xfId="9" applyFont="1" applyBorder="1" applyAlignment="1">
      <alignment horizontal="center" vertical="center" wrapText="1" readingOrder="1"/>
    </xf>
    <xf numFmtId="0" fontId="64" fillId="0" borderId="7" xfId="9" applyFont="1" applyBorder="1" applyAlignment="1">
      <alignment horizontal="center" vertical="center" wrapText="1" readingOrder="1"/>
    </xf>
    <xf numFmtId="0" fontId="65" fillId="0" borderId="33" xfId="9" applyFont="1" applyBorder="1" applyAlignment="1">
      <alignment horizontal="center" vertical="center" wrapText="1" readingOrder="1"/>
    </xf>
    <xf numFmtId="0" fontId="67" fillId="0" borderId="0" xfId="0" applyFont="1"/>
    <xf numFmtId="0" fontId="69" fillId="0" borderId="40" xfId="11" applyFont="1" applyBorder="1" applyAlignment="1">
      <alignment horizontal="left" vertical="center"/>
    </xf>
    <xf numFmtId="0" fontId="69" fillId="0" borderId="38" xfId="11" applyFont="1" applyBorder="1" applyAlignment="1">
      <alignment horizontal="left" vertical="center"/>
    </xf>
    <xf numFmtId="0" fontId="69" fillId="0" borderId="41" xfId="11" applyFont="1" applyBorder="1" applyAlignment="1">
      <alignment horizontal="left" vertical="center"/>
    </xf>
    <xf numFmtId="49" fontId="67" fillId="0" borderId="0" xfId="0" applyNumberFormat="1" applyFont="1"/>
    <xf numFmtId="0" fontId="67" fillId="0" borderId="0" xfId="0" applyFont="1" applyAlignment="1">
      <alignment horizontal="center"/>
    </xf>
    <xf numFmtId="0" fontId="70" fillId="0" borderId="31" xfId="0" applyFont="1" applyBorder="1" applyAlignment="1">
      <alignment horizontal="center"/>
    </xf>
    <xf numFmtId="0" fontId="70" fillId="0" borderId="23" xfId="0" applyFont="1" applyBorder="1" applyAlignment="1">
      <alignment horizontal="center"/>
    </xf>
    <xf numFmtId="0" fontId="68" fillId="11" borderId="37" xfId="11" applyFont="1" applyFill="1" applyBorder="1" applyAlignment="1">
      <alignment horizontal="center" vertical="center"/>
    </xf>
    <xf numFmtId="0" fontId="67" fillId="0" borderId="0" xfId="0" applyFont="1" applyAlignment="1">
      <alignment wrapText="1"/>
    </xf>
    <xf numFmtId="0" fontId="68" fillId="0" borderId="39" xfId="11" applyFont="1" applyBorder="1" applyAlignment="1">
      <alignment horizontal="center"/>
    </xf>
    <xf numFmtId="0" fontId="68" fillId="0" borderId="38" xfId="11" applyFont="1" applyBorder="1" applyAlignment="1">
      <alignment horizontal="center"/>
    </xf>
    <xf numFmtId="0" fontId="68" fillId="0" borderId="41" xfId="11" applyFont="1" applyBorder="1" applyAlignment="1">
      <alignment horizontal="center"/>
    </xf>
    <xf numFmtId="0" fontId="0" fillId="0" borderId="0" xfId="0" applyAlignment="1">
      <alignment horizontal="right" vertical="center" wrapText="1" indent="1"/>
    </xf>
    <xf numFmtId="0" fontId="71" fillId="0" borderId="0" xfId="0" applyFont="1" applyAlignment="1">
      <alignment vertical="center"/>
    </xf>
    <xf numFmtId="0" fontId="72" fillId="0" borderId="0" xfId="0" applyFont="1" applyAlignment="1">
      <alignment horizontal="left" vertical="center" indent="1"/>
    </xf>
    <xf numFmtId="0" fontId="73" fillId="0" borderId="0" xfId="0" applyFont="1"/>
    <xf numFmtId="0" fontId="75" fillId="23" borderId="31" xfId="9" applyFont="1" applyFill="1" applyBorder="1" applyAlignment="1">
      <alignment horizontal="center" vertical="center"/>
    </xf>
    <xf numFmtId="0" fontId="75" fillId="23" borderId="31" xfId="9" applyFont="1" applyFill="1" applyBorder="1"/>
    <xf numFmtId="0" fontId="75" fillId="6" borderId="31" xfId="9" applyFont="1" applyFill="1" applyBorder="1" applyAlignment="1">
      <alignment horizontal="center" vertical="center"/>
    </xf>
    <xf numFmtId="0" fontId="75" fillId="6" borderId="27" xfId="9" applyFont="1" applyFill="1" applyBorder="1"/>
    <xf numFmtId="0" fontId="75" fillId="11" borderId="23" xfId="9" applyFont="1" applyFill="1" applyBorder="1" applyAlignment="1">
      <alignment horizontal="center" vertical="center"/>
    </xf>
    <xf numFmtId="0" fontId="75" fillId="11" borderId="44" xfId="9" applyFont="1" applyFill="1" applyBorder="1"/>
    <xf numFmtId="0" fontId="75" fillId="24" borderId="31" xfId="9" applyFont="1" applyFill="1" applyBorder="1" applyAlignment="1">
      <alignment horizontal="center" vertical="center"/>
    </xf>
    <xf numFmtId="0" fontId="75" fillId="24" borderId="27" xfId="9" applyFont="1" applyFill="1" applyBorder="1"/>
    <xf numFmtId="0" fontId="67" fillId="0" borderId="0" xfId="0" applyFont="1" applyAlignment="1">
      <alignment vertical="center"/>
    </xf>
    <xf numFmtId="0" fontId="75" fillId="10" borderId="0" xfId="9" applyFont="1" applyFill="1"/>
    <xf numFmtId="0" fontId="76" fillId="0" borderId="0" xfId="0" applyFont="1"/>
    <xf numFmtId="0" fontId="67" fillId="0" borderId="0" xfId="0" applyFont="1" applyAlignment="1">
      <alignment horizontal="left"/>
    </xf>
    <xf numFmtId="0" fontId="74" fillId="10" borderId="1" xfId="9" applyFont="1" applyFill="1" applyBorder="1" applyAlignment="1">
      <alignment horizontal="center" vertical="center" wrapText="1"/>
    </xf>
    <xf numFmtId="0" fontId="67" fillId="0" borderId="1" xfId="0" applyFont="1" applyBorder="1"/>
    <xf numFmtId="0" fontId="67" fillId="0" borderId="1" xfId="0" applyFont="1" applyBorder="1" applyAlignment="1">
      <alignment wrapText="1"/>
    </xf>
    <xf numFmtId="0" fontId="74" fillId="10" borderId="31" xfId="9" applyFont="1" applyFill="1" applyBorder="1" applyAlignment="1">
      <alignment horizontal="center" wrapText="1"/>
    </xf>
    <xf numFmtId="0" fontId="67" fillId="0" borderId="0" xfId="0" applyFont="1" applyAlignment="1">
      <alignment horizontal="center" vertical="center"/>
    </xf>
    <xf numFmtId="0" fontId="68" fillId="6" borderId="34" xfId="11" applyFont="1" applyFill="1" applyBorder="1" applyAlignment="1">
      <alignment horizontal="center" vertical="center"/>
    </xf>
    <xf numFmtId="0" fontId="68" fillId="21" borderId="34" xfId="11" applyFont="1" applyFill="1" applyBorder="1" applyAlignment="1">
      <alignment horizontal="center" vertical="center"/>
    </xf>
    <xf numFmtId="0" fontId="68" fillId="6" borderId="15" xfId="11" applyFont="1" applyFill="1" applyBorder="1" applyAlignment="1">
      <alignment horizontal="center" vertical="center"/>
    </xf>
    <xf numFmtId="0" fontId="68" fillId="21" borderId="15" xfId="11" applyFont="1" applyFill="1" applyBorder="1" applyAlignment="1">
      <alignment horizontal="center" vertical="center"/>
    </xf>
    <xf numFmtId="0" fontId="68" fillId="11" borderId="47" xfId="11" applyFont="1" applyFill="1" applyBorder="1" applyAlignment="1">
      <alignment horizontal="center" vertical="center"/>
    </xf>
    <xf numFmtId="0" fontId="68" fillId="21" borderId="47" xfId="11" applyFont="1" applyFill="1" applyBorder="1" applyAlignment="1">
      <alignment horizontal="center" vertical="center"/>
    </xf>
    <xf numFmtId="0" fontId="68" fillId="6" borderId="48" xfId="11" applyFont="1" applyFill="1" applyBorder="1" applyAlignment="1">
      <alignment horizontal="center" vertical="center"/>
    </xf>
    <xf numFmtId="0" fontId="68" fillId="11" borderId="34" xfId="11" applyFont="1" applyFill="1" applyBorder="1" applyAlignment="1">
      <alignment horizontal="center" vertical="center"/>
    </xf>
    <xf numFmtId="0" fontId="68" fillId="11" borderId="15" xfId="11" applyFont="1" applyFill="1" applyBorder="1" applyAlignment="1">
      <alignment horizontal="center" vertical="center"/>
    </xf>
    <xf numFmtId="0" fontId="68" fillId="0" borderId="21" xfId="11" applyFont="1" applyBorder="1" applyAlignment="1">
      <alignment horizontal="center" vertical="center"/>
    </xf>
    <xf numFmtId="0" fontId="68" fillId="0" borderId="31" xfId="11" applyFont="1" applyBorder="1" applyAlignment="1">
      <alignment horizontal="center" vertical="center"/>
    </xf>
    <xf numFmtId="0" fontId="68" fillId="0" borderId="27" xfId="11" applyFont="1" applyBorder="1" applyAlignment="1">
      <alignment horizontal="center" vertical="center"/>
    </xf>
    <xf numFmtId="0" fontId="68" fillId="0" borderId="20" xfId="11" applyFont="1" applyBorder="1" applyAlignment="1">
      <alignment horizontal="center" vertical="center"/>
    </xf>
    <xf numFmtId="0" fontId="68" fillId="23" borderId="15" xfId="11" applyFont="1" applyFill="1" applyBorder="1" applyAlignment="1">
      <alignment horizontal="center" vertical="center"/>
    </xf>
    <xf numFmtId="0" fontId="68" fillId="23" borderId="16" xfId="11" applyFont="1" applyFill="1" applyBorder="1" applyAlignment="1">
      <alignment horizontal="center" vertical="center"/>
    </xf>
    <xf numFmtId="0" fontId="73" fillId="0" borderId="35" xfId="0" applyFont="1" applyBorder="1" applyAlignment="1">
      <alignment vertical="center" wrapText="1"/>
    </xf>
    <xf numFmtId="0" fontId="73" fillId="0" borderId="34" xfId="0" applyFont="1" applyBorder="1" applyAlignment="1">
      <alignment vertical="center" wrapText="1"/>
    </xf>
    <xf numFmtId="0" fontId="73" fillId="0" borderId="36" xfId="0" applyFont="1" applyBorder="1" applyAlignment="1">
      <alignment vertical="center" wrapText="1"/>
    </xf>
    <xf numFmtId="0" fontId="73" fillId="0" borderId="16" xfId="0" applyFont="1" applyBorder="1" applyAlignment="1">
      <alignment vertical="center" wrapText="1"/>
    </xf>
    <xf numFmtId="0" fontId="73" fillId="0" borderId="10" xfId="0" applyFont="1" applyBorder="1" applyAlignment="1">
      <alignment vertical="center" wrapText="1"/>
    </xf>
    <xf numFmtId="0" fontId="73" fillId="0" borderId="17" xfId="0" applyFont="1" applyBorder="1" applyAlignment="1">
      <alignment vertical="center" wrapText="1"/>
    </xf>
    <xf numFmtId="0" fontId="73" fillId="0" borderId="8" xfId="0" applyFont="1" applyBorder="1" applyAlignment="1">
      <alignment vertical="center" wrapText="1"/>
    </xf>
    <xf numFmtId="0" fontId="73" fillId="0" borderId="15" xfId="0" applyFont="1" applyBorder="1" applyAlignment="1">
      <alignment vertical="center" wrapText="1"/>
    </xf>
    <xf numFmtId="0" fontId="81" fillId="0" borderId="8" xfId="0" applyFont="1" applyBorder="1" applyAlignment="1">
      <alignment vertical="center" wrapText="1"/>
    </xf>
    <xf numFmtId="0" fontId="73" fillId="0" borderId="34" xfId="0" applyFont="1" applyBorder="1" applyAlignment="1">
      <alignment vertical="center"/>
    </xf>
    <xf numFmtId="0" fontId="73" fillId="0" borderId="9" xfId="0" applyFont="1" applyBorder="1" applyAlignment="1">
      <alignment vertical="center" wrapText="1"/>
    </xf>
    <xf numFmtId="0" fontId="69" fillId="0" borderId="18" xfId="10" applyFont="1" applyBorder="1" applyAlignment="1" applyProtection="1">
      <alignment horizontal="center" vertical="center" wrapText="1"/>
      <protection locked="0" hidden="1"/>
    </xf>
    <xf numFmtId="0" fontId="69" fillId="0" borderId="12" xfId="10" applyFont="1" applyBorder="1" applyAlignment="1" applyProtection="1">
      <alignment horizontal="center" vertical="center" wrapText="1"/>
      <protection locked="0" hidden="1"/>
    </xf>
    <xf numFmtId="0" fontId="74" fillId="0" borderId="34" xfId="10" applyFont="1" applyBorder="1" applyAlignment="1">
      <alignment horizontal="center" vertical="center" wrapText="1"/>
    </xf>
    <xf numFmtId="0" fontId="78" fillId="0" borderId="16" xfId="0" applyFont="1" applyBorder="1" applyAlignment="1">
      <alignment horizontal="center" vertical="center" wrapText="1"/>
    </xf>
    <xf numFmtId="0" fontId="73" fillId="0" borderId="16" xfId="0" applyFont="1" applyBorder="1" applyAlignment="1">
      <alignment vertical="center"/>
    </xf>
    <xf numFmtId="0" fontId="74" fillId="0" borderId="15" xfId="10" applyFont="1" applyBorder="1" applyAlignment="1">
      <alignment horizontal="center" vertical="center" wrapText="1"/>
    </xf>
    <xf numFmtId="0" fontId="73" fillId="0" borderId="17" xfId="0" applyFont="1" applyBorder="1" applyAlignment="1">
      <alignment vertical="center"/>
    </xf>
    <xf numFmtId="0" fontId="73" fillId="0" borderId="15" xfId="0" applyFont="1" applyBorder="1" applyAlignment="1">
      <alignment vertical="center"/>
    </xf>
    <xf numFmtId="0" fontId="74" fillId="0" borderId="42" xfId="10" applyFont="1" applyBorder="1" applyAlignment="1">
      <alignment horizontal="center" vertical="center" wrapText="1"/>
    </xf>
    <xf numFmtId="0" fontId="74" fillId="0" borderId="16" xfId="10" applyFont="1" applyBorder="1" applyAlignment="1">
      <alignment horizontal="center" vertical="center" wrapText="1"/>
    </xf>
    <xf numFmtId="0" fontId="73" fillId="0" borderId="15" xfId="0" applyFont="1" applyBorder="1"/>
    <xf numFmtId="0" fontId="73" fillId="0" borderId="16" xfId="0" applyFont="1" applyBorder="1" applyAlignment="1">
      <alignment wrapText="1"/>
    </xf>
    <xf numFmtId="0" fontId="73" fillId="0" borderId="16" xfId="0" applyFont="1" applyBorder="1"/>
    <xf numFmtId="0" fontId="73" fillId="0" borderId="42" xfId="0" applyFont="1" applyBorder="1" applyAlignment="1">
      <alignment vertical="center" wrapText="1"/>
    </xf>
    <xf numFmtId="0" fontId="73" fillId="0" borderId="42" xfId="0" applyFont="1" applyBorder="1"/>
    <xf numFmtId="0" fontId="73" fillId="0" borderId="0" xfId="0" applyFont="1" applyAlignment="1">
      <alignment wrapText="1"/>
    </xf>
    <xf numFmtId="0" fontId="73" fillId="0" borderId="38" xfId="0" applyFont="1" applyBorder="1" applyAlignment="1">
      <alignment vertical="center" wrapText="1"/>
    </xf>
    <xf numFmtId="0" fontId="73" fillId="0" borderId="39" xfId="0" applyFont="1" applyBorder="1" applyAlignment="1">
      <alignment horizontal="center" vertical="center" wrapText="1"/>
    </xf>
    <xf numFmtId="0" fontId="73" fillId="0" borderId="38" xfId="0" applyFont="1" applyBorder="1" applyAlignment="1">
      <alignment horizontal="center" vertical="center" wrapText="1"/>
    </xf>
    <xf numFmtId="0" fontId="73" fillId="0" borderId="41" xfId="0" applyFont="1" applyBorder="1" applyAlignment="1">
      <alignment horizontal="center" vertical="center" wrapText="1"/>
    </xf>
    <xf numFmtId="0" fontId="73" fillId="0" borderId="48" xfId="0" applyFont="1" applyBorder="1" applyAlignment="1">
      <alignment vertical="center" wrapText="1"/>
    </xf>
    <xf numFmtId="0" fontId="73" fillId="0" borderId="50" xfId="0" applyFont="1" applyBorder="1" applyAlignment="1">
      <alignment vertical="center" wrapText="1"/>
    </xf>
    <xf numFmtId="0" fontId="73" fillId="0" borderId="47" xfId="0" applyFont="1" applyBorder="1" applyAlignment="1">
      <alignment vertical="center" wrapText="1"/>
    </xf>
    <xf numFmtId="0" fontId="73" fillId="0" borderId="37" xfId="0" applyFont="1" applyBorder="1" applyAlignment="1">
      <alignment vertical="center" wrapText="1"/>
    </xf>
    <xf numFmtId="0" fontId="73" fillId="0" borderId="48" xfId="0" applyFont="1" applyBorder="1" applyAlignment="1">
      <alignment wrapText="1"/>
    </xf>
    <xf numFmtId="0" fontId="73" fillId="0" borderId="37" xfId="0" applyFont="1" applyBorder="1" applyAlignment="1">
      <alignment wrapText="1"/>
    </xf>
    <xf numFmtId="0" fontId="73" fillId="0" borderId="37" xfId="0" applyFont="1" applyBorder="1" applyAlignment="1">
      <alignment vertical="center"/>
    </xf>
    <xf numFmtId="0" fontId="73" fillId="0" borderId="51" xfId="0" applyFont="1" applyBorder="1" applyAlignment="1">
      <alignment vertical="center" wrapText="1"/>
    </xf>
    <xf numFmtId="0" fontId="69" fillId="0" borderId="5" xfId="10" applyFont="1" applyBorder="1" applyAlignment="1" applyProtection="1">
      <alignment horizontal="center" vertical="center" wrapText="1"/>
      <protection locked="0" hidden="1"/>
    </xf>
    <xf numFmtId="0" fontId="69" fillId="0" borderId="52" xfId="10" applyFont="1" applyBorder="1" applyAlignment="1" applyProtection="1">
      <alignment horizontal="center" vertical="center" wrapText="1"/>
      <protection locked="0" hidden="1"/>
    </xf>
    <xf numFmtId="0" fontId="69" fillId="0" borderId="24" xfId="10" applyFont="1" applyBorder="1" applyAlignment="1" applyProtection="1">
      <alignment horizontal="center" vertical="center" wrapText="1"/>
      <protection locked="0" hidden="1"/>
    </xf>
    <xf numFmtId="0" fontId="69" fillId="0" borderId="19" xfId="10" applyFont="1" applyBorder="1" applyAlignment="1" applyProtection="1">
      <alignment horizontal="center" vertical="center" wrapText="1"/>
      <protection locked="0" hidden="1"/>
    </xf>
    <xf numFmtId="0" fontId="69" fillId="0" borderId="6" xfId="10" applyFont="1" applyBorder="1" applyAlignment="1" applyProtection="1">
      <alignment horizontal="center" vertical="center" wrapText="1"/>
      <protection locked="0" hidden="1"/>
    </xf>
    <xf numFmtId="0" fontId="75" fillId="0" borderId="34" xfId="10" applyFont="1" applyBorder="1" applyAlignment="1" applyProtection="1">
      <alignment horizontal="center" vertical="center" wrapText="1"/>
      <protection locked="0" hidden="1"/>
    </xf>
    <xf numFmtId="0" fontId="75" fillId="0" borderId="42" xfId="10" applyFont="1" applyBorder="1" applyAlignment="1" applyProtection="1">
      <alignment horizontal="center" vertical="center" wrapText="1"/>
      <protection locked="0" hidden="1"/>
    </xf>
    <xf numFmtId="0" fontId="75" fillId="0" borderId="15" xfId="10" applyFont="1" applyBorder="1" applyAlignment="1" applyProtection="1">
      <alignment horizontal="center" vertical="center" wrapText="1"/>
      <protection locked="0" hidden="1"/>
    </xf>
    <xf numFmtId="0" fontId="75" fillId="0" borderId="16" xfId="10" applyFont="1" applyBorder="1" applyAlignment="1" applyProtection="1">
      <alignment horizontal="center" vertical="center" wrapText="1"/>
      <protection locked="0" hidden="1"/>
    </xf>
    <xf numFmtId="0" fontId="82" fillId="0" borderId="0" xfId="0" applyFont="1"/>
    <xf numFmtId="0" fontId="82" fillId="0" borderId="0" xfId="0" applyFont="1" applyAlignment="1">
      <alignment horizontal="center"/>
    </xf>
    <xf numFmtId="0" fontId="82" fillId="0" borderId="0" xfId="0" applyFont="1" applyAlignment="1">
      <alignment vertical="center"/>
    </xf>
    <xf numFmtId="0" fontId="85" fillId="0" borderId="21" xfId="11" applyFont="1" applyBorder="1" applyAlignment="1">
      <alignment horizontal="center" vertical="center"/>
    </xf>
    <xf numFmtId="0" fontId="85" fillId="0" borderId="31" xfId="11" applyFont="1" applyBorder="1" applyAlignment="1">
      <alignment horizontal="center" vertical="center"/>
    </xf>
    <xf numFmtId="0" fontId="85" fillId="0" borderId="27" xfId="11" applyFont="1" applyBorder="1" applyAlignment="1">
      <alignment horizontal="center" vertical="center"/>
    </xf>
    <xf numFmtId="0" fontId="85" fillId="0" borderId="20" xfId="11" applyFont="1" applyBorder="1" applyAlignment="1">
      <alignment horizontal="center" vertical="center"/>
    </xf>
    <xf numFmtId="0" fontId="83" fillId="0" borderId="23" xfId="0" applyFont="1" applyBorder="1" applyAlignment="1">
      <alignment horizontal="center"/>
    </xf>
    <xf numFmtId="0" fontId="83" fillId="0" borderId="31" xfId="0" applyFont="1" applyBorder="1" applyAlignment="1">
      <alignment horizontal="center"/>
    </xf>
    <xf numFmtId="0" fontId="86" fillId="0" borderId="0" xfId="0" applyFont="1"/>
    <xf numFmtId="0" fontId="86" fillId="0" borderId="0" xfId="0" applyFont="1" applyAlignment="1">
      <alignment vertical="center"/>
    </xf>
    <xf numFmtId="0" fontId="86" fillId="0" borderId="0" xfId="0" applyFont="1" applyAlignment="1">
      <alignment horizontal="center"/>
    </xf>
    <xf numFmtId="0" fontId="73" fillId="0" borderId="48" xfId="0" applyFont="1" applyBorder="1" applyAlignment="1">
      <alignment vertical="center"/>
    </xf>
    <xf numFmtId="0" fontId="73" fillId="0" borderId="40" xfId="0" applyFont="1" applyBorder="1" applyAlignment="1">
      <alignment vertical="center" wrapText="1"/>
    </xf>
    <xf numFmtId="0" fontId="73" fillId="0" borderId="41" xfId="0" applyFont="1" applyBorder="1" applyAlignment="1">
      <alignment vertical="center" wrapText="1"/>
    </xf>
    <xf numFmtId="0" fontId="73" fillId="0" borderId="39" xfId="0" applyFont="1" applyBorder="1" applyAlignment="1">
      <alignment vertical="center" wrapText="1"/>
    </xf>
    <xf numFmtId="0" fontId="73" fillId="0" borderId="47" xfId="0" applyFont="1" applyBorder="1" applyAlignment="1">
      <alignment vertical="center"/>
    </xf>
    <xf numFmtId="0" fontId="73" fillId="0" borderId="49" xfId="0" applyFont="1" applyBorder="1" applyAlignment="1">
      <alignment vertical="center" wrapText="1"/>
    </xf>
    <xf numFmtId="0" fontId="73" fillId="0" borderId="47" xfId="0" applyFont="1" applyBorder="1"/>
    <xf numFmtId="0" fontId="73" fillId="0" borderId="48" xfId="0" applyFont="1" applyBorder="1"/>
    <xf numFmtId="0" fontId="73" fillId="0" borderId="51" xfId="0" applyFont="1" applyBorder="1"/>
    <xf numFmtId="0" fontId="73" fillId="0" borderId="40" xfId="0" applyFont="1" applyBorder="1" applyAlignment="1">
      <alignment horizontal="center" vertical="center" wrapText="1"/>
    </xf>
    <xf numFmtId="0" fontId="73" fillId="0" borderId="39" xfId="0" applyFont="1" applyBorder="1" applyAlignment="1">
      <alignment horizontal="center" vertical="center"/>
    </xf>
    <xf numFmtId="0" fontId="73" fillId="0" borderId="49" xfId="0" applyFont="1" applyBorder="1" applyAlignment="1">
      <alignment horizontal="center" vertical="center" wrapText="1"/>
    </xf>
    <xf numFmtId="0" fontId="43" fillId="0" borderId="0" xfId="0" applyFont="1" applyAlignment="1">
      <alignment horizontal="center" wrapText="1"/>
    </xf>
    <xf numFmtId="0" fontId="73" fillId="0" borderId="0" xfId="0" applyFont="1" applyAlignment="1">
      <alignment horizontal="center" wrapText="1"/>
    </xf>
    <xf numFmtId="0" fontId="68" fillId="10" borderId="21" xfId="9" applyFont="1" applyFill="1" applyBorder="1" applyAlignment="1">
      <alignment vertical="center" wrapText="1"/>
    </xf>
    <xf numFmtId="0" fontId="68" fillId="10" borderId="31" xfId="9" applyFont="1" applyFill="1" applyBorder="1" applyAlignment="1">
      <alignment horizontal="left" vertical="center" wrapText="1"/>
    </xf>
    <xf numFmtId="0" fontId="68" fillId="10" borderId="21" xfId="9" applyFont="1" applyFill="1" applyBorder="1" applyAlignment="1">
      <alignment horizontal="left" vertical="center" wrapText="1"/>
    </xf>
    <xf numFmtId="0" fontId="68" fillId="0" borderId="21" xfId="9" applyFont="1" applyBorder="1" applyAlignment="1">
      <alignment horizontal="center" vertical="center" wrapText="1"/>
    </xf>
    <xf numFmtId="0" fontId="68" fillId="6" borderId="21" xfId="9" applyFont="1" applyFill="1" applyBorder="1" applyAlignment="1">
      <alignment horizontal="center" vertical="center" wrapText="1"/>
    </xf>
    <xf numFmtId="0" fontId="68" fillId="24" borderId="21" xfId="9" applyFont="1" applyFill="1" applyBorder="1" applyAlignment="1">
      <alignment horizontal="center" vertical="center" wrapText="1"/>
    </xf>
    <xf numFmtId="0" fontId="68" fillId="11" borderId="21" xfId="9" applyFont="1" applyFill="1" applyBorder="1" applyAlignment="1">
      <alignment horizontal="center" vertical="center" wrapText="1"/>
    </xf>
    <xf numFmtId="0" fontId="68" fillId="23" borderId="21" xfId="9" applyFont="1" applyFill="1" applyBorder="1" applyAlignment="1">
      <alignment horizontal="center" vertical="center" wrapText="1"/>
    </xf>
    <xf numFmtId="0" fontId="68" fillId="0" borderId="31" xfId="9" applyFont="1" applyBorder="1" applyAlignment="1">
      <alignment horizontal="center" vertical="center" wrapText="1"/>
    </xf>
    <xf numFmtId="0" fontId="88" fillId="23" borderId="21" xfId="9" applyFont="1" applyFill="1" applyBorder="1" applyAlignment="1">
      <alignment horizontal="center" vertical="center" wrapText="1" readingOrder="1"/>
    </xf>
    <xf numFmtId="0" fontId="68" fillId="10" borderId="0" xfId="9" applyFont="1" applyFill="1" applyAlignment="1">
      <alignment horizontal="center" vertical="center"/>
    </xf>
    <xf numFmtId="0" fontId="69" fillId="10" borderId="0" xfId="9" applyFont="1" applyFill="1" applyAlignment="1">
      <alignment horizontal="center" vertical="center"/>
    </xf>
    <xf numFmtId="0" fontId="89" fillId="0" borderId="31" xfId="9" applyFont="1" applyBorder="1" applyAlignment="1">
      <alignment horizontal="center" vertical="center" wrapText="1" readingOrder="1"/>
    </xf>
    <xf numFmtId="0" fontId="89" fillId="0" borderId="31" xfId="9" applyFont="1" applyBorder="1" applyAlignment="1">
      <alignment horizontal="center" vertical="center" readingOrder="1"/>
    </xf>
    <xf numFmtId="0" fontId="69" fillId="10" borderId="0" xfId="9" applyFont="1" applyFill="1"/>
    <xf numFmtId="0" fontId="88" fillId="0" borderId="23" xfId="9" applyFont="1" applyBorder="1" applyAlignment="1">
      <alignment horizontal="center" readingOrder="1"/>
    </xf>
    <xf numFmtId="0" fontId="69" fillId="0" borderId="1" xfId="10" applyFont="1" applyBorder="1" applyAlignment="1" applyProtection="1">
      <alignment horizontal="center" vertical="center" wrapText="1"/>
      <protection locked="0" hidden="1"/>
    </xf>
    <xf numFmtId="0" fontId="69" fillId="0" borderId="25" xfId="10" applyFont="1" applyBorder="1" applyAlignment="1" applyProtection="1">
      <alignment horizontal="center" vertical="center" wrapText="1"/>
      <protection locked="0" hidden="1"/>
    </xf>
    <xf numFmtId="0" fontId="69" fillId="0" borderId="11" xfId="10" applyFont="1" applyBorder="1" applyAlignment="1" applyProtection="1">
      <alignment horizontal="center" vertical="center" wrapText="1"/>
      <protection locked="0" hidden="1"/>
    </xf>
    <xf numFmtId="0" fontId="68" fillId="19" borderId="14" xfId="10" applyFont="1" applyFill="1" applyBorder="1" applyAlignment="1" applyProtection="1">
      <alignment horizontal="center" vertical="center" wrapText="1"/>
      <protection locked="0" hidden="1"/>
    </xf>
    <xf numFmtId="0" fontId="69" fillId="0" borderId="57" xfId="10" applyFont="1" applyBorder="1" applyAlignment="1" applyProtection="1">
      <alignment horizontal="center" vertical="center" wrapText="1"/>
      <protection locked="0" hidden="1"/>
    </xf>
    <xf numFmtId="0" fontId="69" fillId="0" borderId="7" xfId="10" applyFont="1" applyBorder="1" applyAlignment="1" applyProtection="1">
      <alignment horizontal="center" vertical="center" wrapText="1"/>
      <protection locked="0" hidden="1"/>
    </xf>
    <xf numFmtId="0" fontId="69" fillId="0" borderId="43" xfId="10" applyFont="1" applyBorder="1" applyAlignment="1" applyProtection="1">
      <alignment horizontal="center" vertical="center" wrapText="1"/>
      <protection locked="0" hidden="1"/>
    </xf>
    <xf numFmtId="0" fontId="69" fillId="0" borderId="4" xfId="10" applyFont="1" applyBorder="1" applyAlignment="1" applyProtection="1">
      <alignment horizontal="center" vertical="center" wrapText="1"/>
      <protection locked="0" hidden="1"/>
    </xf>
    <xf numFmtId="0" fontId="68" fillId="19" borderId="55" xfId="10" applyFont="1" applyFill="1" applyBorder="1" applyAlignment="1" applyProtection="1">
      <alignment horizontal="center" vertical="center" wrapText="1"/>
      <protection locked="0" hidden="1"/>
    </xf>
    <xf numFmtId="0" fontId="68" fillId="19" borderId="56" xfId="10" applyFont="1" applyFill="1" applyBorder="1" applyAlignment="1" applyProtection="1">
      <alignment horizontal="center" vertical="center" wrapText="1"/>
      <protection locked="0" hidden="1"/>
    </xf>
    <xf numFmtId="0" fontId="68" fillId="19" borderId="54" xfId="10" applyFont="1" applyFill="1" applyBorder="1" applyAlignment="1" applyProtection="1">
      <alignment horizontal="center" vertical="center" wrapText="1"/>
      <protection locked="0" hidden="1"/>
    </xf>
    <xf numFmtId="0" fontId="68" fillId="19" borderId="53" xfId="10" applyFont="1" applyFill="1" applyBorder="1" applyAlignment="1" applyProtection="1">
      <alignment horizontal="center" vertical="center" wrapText="1"/>
      <protection locked="0" hidden="1"/>
    </xf>
    <xf numFmtId="0" fontId="87" fillId="0" borderId="47" xfId="0" applyFont="1" applyBorder="1" applyAlignment="1">
      <alignment vertical="center" wrapText="1"/>
    </xf>
    <xf numFmtId="0" fontId="73" fillId="0" borderId="15" xfId="0" applyFont="1" applyBorder="1" applyAlignment="1">
      <alignment horizontal="center" vertical="center"/>
    </xf>
    <xf numFmtId="0" fontId="73" fillId="0" borderId="34" xfId="0" applyFont="1" applyBorder="1" applyAlignment="1">
      <alignment horizontal="center" vertical="center" wrapText="1"/>
    </xf>
    <xf numFmtId="0" fontId="73" fillId="0" borderId="15" xfId="0" applyFont="1" applyBorder="1" applyAlignment="1">
      <alignment horizontal="center" vertical="center" wrapText="1"/>
    </xf>
    <xf numFmtId="0" fontId="73" fillId="0" borderId="38" xfId="0" applyFont="1" applyBorder="1" applyAlignment="1">
      <alignment horizontal="left" vertical="top" wrapText="1"/>
    </xf>
    <xf numFmtId="0" fontId="73" fillId="0" borderId="16" xfId="0" applyFont="1" applyBorder="1" applyAlignment="1">
      <alignment horizontal="center" vertical="center" wrapText="1"/>
    </xf>
    <xf numFmtId="0" fontId="73" fillId="0" borderId="17" xfId="0" applyFont="1" applyBorder="1" applyAlignment="1">
      <alignment horizontal="center" vertical="center" wrapText="1"/>
    </xf>
    <xf numFmtId="0" fontId="73" fillId="0" borderId="34" xfId="0" applyFont="1" applyBorder="1" applyAlignment="1">
      <alignment horizontal="center" vertical="center"/>
    </xf>
    <xf numFmtId="0" fontId="73" fillId="0" borderId="42" xfId="0" applyFont="1" applyBorder="1" applyAlignment="1">
      <alignment horizontal="center" vertical="center" wrapText="1"/>
    </xf>
    <xf numFmtId="0" fontId="73" fillId="0" borderId="51" xfId="0" applyFont="1" applyBorder="1" applyAlignment="1">
      <alignment vertical="center"/>
    </xf>
    <xf numFmtId="0" fontId="73" fillId="0" borderId="42" xfId="0" applyFont="1" applyBorder="1" applyAlignment="1">
      <alignment vertical="center"/>
    </xf>
    <xf numFmtId="0" fontId="75" fillId="0" borderId="37" xfId="10" applyFont="1" applyBorder="1" applyAlignment="1" applyProtection="1">
      <alignment horizontal="center" vertical="center" wrapText="1"/>
      <protection locked="0" hidden="1"/>
    </xf>
    <xf numFmtId="0" fontId="75" fillId="0" borderId="51" xfId="10" applyFont="1" applyBorder="1" applyAlignment="1" applyProtection="1">
      <alignment horizontal="center" vertical="center" wrapText="1"/>
      <protection locked="0" hidden="1"/>
    </xf>
    <xf numFmtId="0" fontId="75" fillId="0" borderId="47" xfId="10" applyFont="1" applyBorder="1" applyAlignment="1" applyProtection="1">
      <alignment horizontal="center" vertical="center" wrapText="1"/>
      <protection locked="0" hidden="1"/>
    </xf>
    <xf numFmtId="0" fontId="75" fillId="0" borderId="48" xfId="10" applyFont="1" applyBorder="1" applyAlignment="1" applyProtection="1">
      <alignment horizontal="center" vertical="center" wrapText="1"/>
      <protection locked="0" hidden="1"/>
    </xf>
    <xf numFmtId="0" fontId="62" fillId="0" borderId="7" xfId="9" applyFont="1" applyBorder="1" applyAlignment="1">
      <alignment horizontal="center" vertical="center" wrapText="1" readingOrder="1"/>
    </xf>
    <xf numFmtId="0" fontId="68" fillId="19" borderId="12" xfId="10" applyFont="1" applyFill="1" applyBorder="1" applyAlignment="1" applyProtection="1">
      <alignment horizontal="center" vertical="center" wrapText="1"/>
      <protection locked="0" hidden="1"/>
    </xf>
    <xf numFmtId="0" fontId="68" fillId="19" borderId="52" xfId="10" applyFont="1" applyFill="1" applyBorder="1" applyAlignment="1" applyProtection="1">
      <alignment horizontal="center" vertical="center" wrapText="1"/>
      <protection locked="0" hidden="1"/>
    </xf>
    <xf numFmtId="0" fontId="68" fillId="19" borderId="7" xfId="10" applyFont="1" applyFill="1" applyBorder="1" applyAlignment="1" applyProtection="1">
      <alignment horizontal="center" vertical="center" wrapText="1"/>
      <protection locked="0" hidden="1"/>
    </xf>
    <xf numFmtId="0" fontId="68" fillId="19" borderId="1" xfId="10" applyFont="1" applyFill="1" applyBorder="1" applyAlignment="1" applyProtection="1">
      <alignment horizontal="center" vertical="center" wrapText="1"/>
      <protection locked="0" hidden="1"/>
    </xf>
    <xf numFmtId="0" fontId="68" fillId="19" borderId="4" xfId="10" applyFont="1" applyFill="1" applyBorder="1" applyAlignment="1" applyProtection="1">
      <alignment horizontal="center" vertical="center" wrapText="1"/>
      <protection locked="0" hidden="1"/>
    </xf>
    <xf numFmtId="0" fontId="68" fillId="19" borderId="11" xfId="10" applyFont="1" applyFill="1" applyBorder="1" applyAlignment="1" applyProtection="1">
      <alignment horizontal="center" vertical="center" wrapText="1"/>
      <protection locked="0" hidden="1"/>
    </xf>
    <xf numFmtId="0" fontId="68" fillId="19" borderId="5" xfId="10" applyFont="1" applyFill="1" applyBorder="1" applyAlignment="1" applyProtection="1">
      <alignment horizontal="center" vertical="center" wrapText="1"/>
      <protection locked="0" hidden="1"/>
    </xf>
    <xf numFmtId="0" fontId="0" fillId="0" borderId="0" xfId="0" applyAlignment="1">
      <alignment wrapText="1"/>
    </xf>
    <xf numFmtId="0" fontId="90" fillId="0" borderId="0" xfId="0" applyFont="1" applyAlignment="1">
      <alignment horizontal="left" vertical="center"/>
    </xf>
    <xf numFmtId="0" fontId="90" fillId="0" borderId="0" xfId="0" applyFont="1" applyAlignment="1">
      <alignment horizontal="left" vertical="top" wrapText="1"/>
    </xf>
    <xf numFmtId="0" fontId="90" fillId="0" borderId="0" xfId="0" applyFont="1" applyAlignment="1">
      <alignment horizontal="left" vertical="top"/>
    </xf>
    <xf numFmtId="0" fontId="74" fillId="0" borderId="47" xfId="10" applyFont="1" applyBorder="1" applyAlignment="1">
      <alignment horizontal="center" vertical="center" wrapText="1"/>
    </xf>
    <xf numFmtId="0" fontId="73" fillId="0" borderId="48" xfId="0" applyFont="1" applyBorder="1" applyAlignment="1">
      <alignment horizontal="center" vertical="center" wrapText="1"/>
    </xf>
    <xf numFmtId="0" fontId="73" fillId="0" borderId="48" xfId="0" applyFont="1" applyBorder="1" applyAlignment="1">
      <alignment horizontal="left" vertical="center" wrapText="1"/>
    </xf>
    <xf numFmtId="0" fontId="73" fillId="0" borderId="48" xfId="0" applyFont="1" applyBorder="1" applyAlignment="1">
      <alignment vertical="top" wrapText="1"/>
    </xf>
    <xf numFmtId="0" fontId="41" fillId="0" borderId="34" xfId="0" applyFont="1" applyBorder="1" applyAlignment="1">
      <alignment vertical="center" wrapText="1"/>
    </xf>
    <xf numFmtId="0" fontId="73" fillId="0" borderId="34" xfId="0" applyFont="1" applyBorder="1" applyAlignment="1">
      <alignment horizontal="left" vertical="center" wrapText="1"/>
    </xf>
    <xf numFmtId="0" fontId="73" fillId="0" borderId="39" xfId="0" applyFont="1" applyBorder="1" applyAlignment="1">
      <alignment horizontal="left" vertical="center" wrapText="1"/>
    </xf>
    <xf numFmtId="0" fontId="73" fillId="0" borderId="15" xfId="0" applyFont="1" applyBorder="1" applyAlignment="1">
      <alignment wrapText="1"/>
    </xf>
    <xf numFmtId="0" fontId="73" fillId="0" borderId="47" xfId="0" applyFont="1" applyBorder="1" applyAlignment="1">
      <alignment wrapText="1"/>
    </xf>
    <xf numFmtId="0" fontId="78" fillId="0" borderId="34" xfId="0" applyFont="1" applyBorder="1" applyAlignment="1">
      <alignment horizontal="center" vertical="center" wrapText="1"/>
    </xf>
    <xf numFmtId="0" fontId="75" fillId="23" borderId="28" xfId="9" applyFont="1" applyFill="1" applyBorder="1" applyAlignment="1">
      <alignment horizontal="center" vertical="center"/>
    </xf>
    <xf numFmtId="0" fontId="75" fillId="6" borderId="28" xfId="9" applyFont="1" applyFill="1" applyBorder="1" applyAlignment="1">
      <alignment horizontal="center" vertical="center"/>
    </xf>
    <xf numFmtId="0" fontId="75" fillId="24" borderId="28" xfId="9" applyFont="1" applyFill="1" applyBorder="1" applyAlignment="1">
      <alignment horizontal="center" vertical="center"/>
    </xf>
    <xf numFmtId="0" fontId="75" fillId="11" borderId="45" xfId="9" applyFont="1" applyFill="1" applyBorder="1" applyAlignment="1">
      <alignment horizontal="center" vertical="center"/>
    </xf>
    <xf numFmtId="0" fontId="43" fillId="0" borderId="1" xfId="0" applyFont="1" applyBorder="1" applyAlignment="1">
      <alignment wrapText="1"/>
    </xf>
    <xf numFmtId="0" fontId="78" fillId="0" borderId="31" xfId="0" applyFont="1" applyBorder="1" applyAlignment="1">
      <alignment horizontal="center" vertical="center" wrapText="1"/>
    </xf>
    <xf numFmtId="0" fontId="43" fillId="0" borderId="46" xfId="0" applyFont="1" applyBorder="1" applyAlignment="1">
      <alignment wrapText="1"/>
    </xf>
    <xf numFmtId="0" fontId="85" fillId="0" borderId="40" xfId="11" applyFont="1" applyBorder="1" applyAlignment="1">
      <alignment horizontal="center" vertical="center" textRotation="90" wrapText="1"/>
    </xf>
    <xf numFmtId="0" fontId="85" fillId="0" borderId="38" xfId="11" applyFont="1" applyBorder="1" applyAlignment="1">
      <alignment horizontal="center" vertical="center" wrapText="1"/>
    </xf>
    <xf numFmtId="0" fontId="85" fillId="22" borderId="15" xfId="11" applyFont="1" applyFill="1" applyBorder="1" applyAlignment="1">
      <alignment horizontal="center" vertical="center" wrapText="1"/>
    </xf>
    <xf numFmtId="0" fontId="85" fillId="6" borderId="15" xfId="11" applyFont="1" applyFill="1" applyBorder="1" applyAlignment="1">
      <alignment horizontal="center" vertical="center" wrapText="1"/>
    </xf>
    <xf numFmtId="0" fontId="85" fillId="21" borderId="15" xfId="11" applyFont="1" applyFill="1" applyBorder="1" applyAlignment="1">
      <alignment horizontal="center" vertical="center" wrapText="1"/>
    </xf>
    <xf numFmtId="0" fontId="85" fillId="11" borderId="15" xfId="11" applyFont="1" applyFill="1" applyBorder="1" applyAlignment="1">
      <alignment horizontal="center" vertical="center" wrapText="1"/>
    </xf>
    <xf numFmtId="0" fontId="85" fillId="11" borderId="47" xfId="11" applyFont="1" applyFill="1" applyBorder="1" applyAlignment="1">
      <alignment horizontal="center" vertical="center" wrapText="1"/>
    </xf>
    <xf numFmtId="0" fontId="82" fillId="0" borderId="0" xfId="0" applyFont="1" applyAlignment="1">
      <alignment wrapText="1"/>
    </xf>
    <xf numFmtId="0" fontId="85" fillId="0" borderId="39" xfId="11" applyFont="1" applyBorder="1" applyAlignment="1">
      <alignment horizontal="center" vertical="center" wrapText="1"/>
    </xf>
    <xf numFmtId="0" fontId="85" fillId="6" borderId="34" xfId="11" applyFont="1" applyFill="1" applyBorder="1" applyAlignment="1">
      <alignment horizontal="center" vertical="center" wrapText="1"/>
    </xf>
    <xf numFmtId="0" fontId="85" fillId="21" borderId="34" xfId="11" applyFont="1" applyFill="1" applyBorder="1" applyAlignment="1">
      <alignment horizontal="center" vertical="center" wrapText="1"/>
    </xf>
    <xf numFmtId="0" fontId="85" fillId="11" borderId="34" xfId="11" applyFont="1" applyFill="1" applyBorder="1" applyAlignment="1">
      <alignment horizontal="center" vertical="center" wrapText="1"/>
    </xf>
    <xf numFmtId="0" fontId="85" fillId="11" borderId="37" xfId="11" applyFont="1" applyFill="1" applyBorder="1" applyAlignment="1">
      <alignment horizontal="center" vertical="center" wrapText="1"/>
    </xf>
    <xf numFmtId="0" fontId="85" fillId="21" borderId="47" xfId="11" applyFont="1" applyFill="1" applyBorder="1" applyAlignment="1">
      <alignment horizontal="center" vertical="center" wrapText="1"/>
    </xf>
    <xf numFmtId="0" fontId="85" fillId="0" borderId="41" xfId="11" applyFont="1" applyBorder="1" applyAlignment="1">
      <alignment horizontal="center" vertical="center" wrapText="1"/>
    </xf>
    <xf numFmtId="0" fontId="85" fillId="22" borderId="16" xfId="11" applyFont="1" applyFill="1" applyBorder="1" applyAlignment="1">
      <alignment horizontal="center" vertical="center" wrapText="1"/>
    </xf>
    <xf numFmtId="0" fontId="85" fillId="6" borderId="48" xfId="11" applyFont="1" applyFill="1" applyBorder="1" applyAlignment="1">
      <alignment horizontal="center" vertical="center" wrapText="1"/>
    </xf>
    <xf numFmtId="0" fontId="64" fillId="0" borderId="30" xfId="9" applyFont="1" applyBorder="1" applyAlignment="1">
      <alignment horizontal="center" vertical="center" wrapText="1" readingOrder="1"/>
    </xf>
    <xf numFmtId="0" fontId="64" fillId="0" borderId="32" xfId="9" applyFont="1" applyBorder="1" applyAlignment="1">
      <alignment horizontal="center" vertical="center" wrapText="1" readingOrder="1"/>
    </xf>
    <xf numFmtId="0" fontId="64" fillId="0" borderId="21" xfId="9" applyFont="1" applyBorder="1" applyAlignment="1">
      <alignment horizontal="center" vertical="center" wrapText="1" readingOrder="1"/>
    </xf>
    <xf numFmtId="0" fontId="64" fillId="0" borderId="22" xfId="9" applyFont="1" applyBorder="1" applyAlignment="1">
      <alignment horizontal="center" vertical="center" wrapText="1" readingOrder="1"/>
    </xf>
    <xf numFmtId="0" fontId="64" fillId="0" borderId="23" xfId="9" applyFont="1" applyBorder="1" applyAlignment="1">
      <alignment horizontal="center" vertical="center" wrapText="1" readingOrder="1"/>
    </xf>
    <xf numFmtId="0" fontId="41" fillId="0" borderId="34" xfId="0" applyFont="1" applyBorder="1" applyAlignment="1">
      <alignment horizontal="center" vertical="center" wrapText="1"/>
    </xf>
    <xf numFmtId="0" fontId="41" fillId="0" borderId="15"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2" xfId="0" applyFont="1" applyBorder="1" applyAlignment="1">
      <alignment horizontal="center" vertical="center" wrapText="1"/>
    </xf>
    <xf numFmtId="0" fontId="64" fillId="0" borderId="20" xfId="9" applyFont="1" applyBorder="1" applyAlignment="1">
      <alignment horizontal="center" vertical="center" wrapText="1" readingOrder="1"/>
    </xf>
    <xf numFmtId="0" fontId="64" fillId="0" borderId="29" xfId="9" applyFont="1" applyBorder="1" applyAlignment="1">
      <alignment horizontal="center" vertical="center" wrapText="1" readingOrder="1"/>
    </xf>
    <xf numFmtId="0" fontId="61" fillId="0" borderId="21" xfId="9" applyFont="1" applyBorder="1" applyAlignment="1">
      <alignment horizontal="center" vertical="center" wrapText="1" readingOrder="1"/>
    </xf>
    <xf numFmtId="0" fontId="61" fillId="0" borderId="23" xfId="9" applyFont="1" applyBorder="1" applyAlignment="1">
      <alignment horizontal="center" vertical="center" wrapText="1" readingOrder="1"/>
    </xf>
    <xf numFmtId="0" fontId="61" fillId="0" borderId="29" xfId="9" applyFont="1" applyBorder="1" applyAlignment="1">
      <alignment horizontal="center" vertical="center" wrapText="1" readingOrder="1"/>
    </xf>
    <xf numFmtId="0" fontId="61" fillId="0" borderId="0" xfId="9" applyFont="1" applyAlignment="1">
      <alignment horizontal="center" vertical="center" wrapText="1" readingOrder="1"/>
    </xf>
    <xf numFmtId="0" fontId="61" fillId="0" borderId="26" xfId="9" applyFont="1" applyBorder="1" applyAlignment="1">
      <alignment horizontal="center" vertical="center" wrapText="1" readingOrder="1"/>
    </xf>
    <xf numFmtId="0" fontId="61" fillId="0" borderId="27" xfId="9" applyFont="1" applyBorder="1" applyAlignment="1">
      <alignment horizontal="center" vertical="center" wrapText="1" readingOrder="1"/>
    </xf>
    <xf numFmtId="0" fontId="61" fillId="0" borderId="22" xfId="9" applyFont="1" applyBorder="1" applyAlignment="1">
      <alignment horizontal="center" vertical="center" wrapText="1" readingOrder="1"/>
    </xf>
    <xf numFmtId="0" fontId="60" fillId="20" borderId="26" xfId="10" applyFont="1" applyFill="1" applyBorder="1" applyAlignment="1">
      <alignment horizontal="center" vertical="center"/>
    </xf>
    <xf numFmtId="0" fontId="60" fillId="20" borderId="27" xfId="10" applyFont="1" applyFill="1" applyBorder="1" applyAlignment="1">
      <alignment horizontal="center" vertical="center"/>
    </xf>
    <xf numFmtId="0" fontId="41" fillId="0" borderId="17" xfId="0" applyFont="1" applyBorder="1" applyAlignment="1">
      <alignment horizontal="center" vertical="center" wrapText="1"/>
    </xf>
    <xf numFmtId="0" fontId="61" fillId="0" borderId="28" xfId="9" applyFont="1" applyBorder="1" applyAlignment="1">
      <alignment horizontal="center" vertical="center" wrapText="1" readingOrder="1"/>
    </xf>
    <xf numFmtId="0" fontId="61" fillId="0" borderId="58" xfId="9" applyFont="1" applyBorder="1" applyAlignment="1">
      <alignment horizontal="center" vertical="center" wrapText="1" readingOrder="1"/>
    </xf>
    <xf numFmtId="0" fontId="73" fillId="0" borderId="42" xfId="0" applyFont="1" applyBorder="1" applyAlignment="1">
      <alignment horizontal="left" vertical="center" wrapText="1"/>
    </xf>
    <xf numFmtId="0" fontId="73" fillId="0" borderId="17" xfId="0" applyFont="1" applyBorder="1" applyAlignment="1">
      <alignment horizontal="left" vertical="center" wrapText="1"/>
    </xf>
    <xf numFmtId="0" fontId="59" fillId="18" borderId="28" xfId="9" applyFont="1" applyFill="1" applyBorder="1" applyAlignment="1">
      <alignment horizontal="center" vertical="center"/>
    </xf>
    <xf numFmtId="0" fontId="59" fillId="18" borderId="26" xfId="9" applyFont="1" applyFill="1" applyBorder="1" applyAlignment="1">
      <alignment horizontal="center" vertical="center"/>
    </xf>
    <xf numFmtId="0" fontId="59" fillId="18" borderId="58" xfId="9" applyFont="1" applyFill="1" applyBorder="1" applyAlignment="1">
      <alignment horizontal="center" vertical="center"/>
    </xf>
    <xf numFmtId="0" fontId="77" fillId="0" borderId="46" xfId="9" applyFont="1" applyBorder="1" applyAlignment="1">
      <alignment horizontal="center" wrapText="1" readingOrder="1"/>
    </xf>
    <xf numFmtId="164" fontId="68" fillId="0" borderId="20" xfId="11" applyNumberFormat="1" applyFont="1" applyBorder="1" applyAlignment="1">
      <alignment horizontal="center" vertical="center"/>
    </xf>
    <xf numFmtId="164" fontId="68" fillId="0" borderId="29" xfId="11" applyNumberFormat="1" applyFont="1" applyBorder="1" applyAlignment="1">
      <alignment horizontal="center" vertical="center"/>
    </xf>
    <xf numFmtId="164" fontId="68" fillId="0" borderId="30" xfId="11" applyNumberFormat="1" applyFont="1" applyBorder="1" applyAlignment="1">
      <alignment horizontal="center" vertical="center"/>
    </xf>
    <xf numFmtId="164" fontId="68" fillId="0" borderId="28" xfId="11" applyNumberFormat="1" applyFont="1" applyBorder="1" applyAlignment="1">
      <alignment horizontal="center" vertical="center"/>
    </xf>
    <xf numFmtId="164" fontId="68" fillId="0" borderId="27" xfId="11" applyNumberFormat="1" applyFont="1" applyBorder="1" applyAlignment="1">
      <alignment horizontal="center" vertical="center"/>
    </xf>
    <xf numFmtId="0" fontId="8" fillId="0" borderId="0" xfId="0" applyFont="1" applyAlignment="1">
      <alignment horizontal="center"/>
    </xf>
    <xf numFmtId="0" fontId="67" fillId="0" borderId="0" xfId="0" applyFont="1" applyAlignment="1">
      <alignment horizontal="left" wrapText="1"/>
    </xf>
    <xf numFmtId="0" fontId="74" fillId="24" borderId="20" xfId="9" applyFont="1" applyFill="1" applyBorder="1" applyAlignment="1">
      <alignment horizontal="center" vertical="center"/>
    </xf>
    <xf numFmtId="0" fontId="74" fillId="24" borderId="29" xfId="9" applyFont="1" applyFill="1" applyBorder="1" applyAlignment="1">
      <alignment horizontal="center" vertical="center"/>
    </xf>
    <xf numFmtId="0" fontId="74" fillId="24" borderId="30" xfId="9" applyFont="1" applyFill="1" applyBorder="1" applyAlignment="1">
      <alignment horizontal="center" vertical="center"/>
    </xf>
    <xf numFmtId="0" fontId="74" fillId="24" borderId="45" xfId="9" applyFont="1" applyFill="1" applyBorder="1" applyAlignment="1">
      <alignment horizontal="center" vertical="center"/>
    </xf>
    <xf numFmtId="0" fontId="74" fillId="24" borderId="46" xfId="9" applyFont="1" applyFill="1" applyBorder="1" applyAlignment="1">
      <alignment horizontal="center" vertical="center"/>
    </xf>
    <xf numFmtId="0" fontId="74" fillId="24" borderId="44" xfId="9" applyFont="1" applyFill="1" applyBorder="1" applyAlignment="1">
      <alignment horizontal="center" vertical="center"/>
    </xf>
    <xf numFmtId="164" fontId="85" fillId="0" borderId="20" xfId="11" applyNumberFormat="1" applyFont="1" applyBorder="1" applyAlignment="1">
      <alignment horizontal="center" vertical="center"/>
    </xf>
    <xf numFmtId="164" fontId="85" fillId="0" borderId="29" xfId="11" applyNumberFormat="1" applyFont="1" applyBorder="1" applyAlignment="1">
      <alignment horizontal="center" vertical="center"/>
    </xf>
    <xf numFmtId="164" fontId="85" fillId="0" borderId="30" xfId="11" applyNumberFormat="1" applyFont="1" applyBorder="1" applyAlignment="1">
      <alignment horizontal="center" vertical="center"/>
    </xf>
    <xf numFmtId="164" fontId="85" fillId="0" borderId="28" xfId="11" applyNumberFormat="1" applyFont="1" applyBorder="1" applyAlignment="1">
      <alignment horizontal="center" vertical="center"/>
    </xf>
    <xf numFmtId="164" fontId="85" fillId="0" borderId="27" xfId="11" applyNumberFormat="1" applyFont="1" applyBorder="1" applyAlignment="1">
      <alignment horizontal="center" vertical="center"/>
    </xf>
    <xf numFmtId="0" fontId="84" fillId="0" borderId="0" xfId="0" applyFont="1" applyAlignment="1">
      <alignment horizontal="center"/>
    </xf>
    <xf numFmtId="0" fontId="18" fillId="10" borderId="3" xfId="1" applyFont="1" applyFill="1" applyBorder="1" applyAlignment="1">
      <alignment horizontal="left" vertical="center" wrapText="1"/>
    </xf>
    <xf numFmtId="0" fontId="18" fillId="10" borderId="8" xfId="1" applyFont="1" applyFill="1" applyBorder="1" applyAlignment="1">
      <alignment horizontal="left" vertical="center" wrapText="1"/>
    </xf>
    <xf numFmtId="0" fontId="18" fillId="10" borderId="2" xfId="1" applyFont="1" applyFill="1" applyBorder="1" applyAlignment="1">
      <alignment horizontal="left" vertical="center" wrapText="1"/>
    </xf>
    <xf numFmtId="0" fontId="39" fillId="17" borderId="3" xfId="0" applyFont="1" applyFill="1" applyBorder="1" applyAlignment="1">
      <alignment horizontal="center" vertical="top" wrapText="1"/>
    </xf>
    <xf numFmtId="0" fontId="39" fillId="17" borderId="2" xfId="0" applyFont="1" applyFill="1" applyBorder="1" applyAlignment="1">
      <alignment horizontal="center" vertical="top" wrapText="1"/>
    </xf>
    <xf numFmtId="0" fontId="44" fillId="10" borderId="3" xfId="1" applyFont="1" applyFill="1" applyBorder="1" applyAlignment="1">
      <alignment horizontal="left" vertical="center" wrapText="1"/>
    </xf>
    <xf numFmtId="0" fontId="44" fillId="10" borderId="8" xfId="1" applyFont="1" applyFill="1" applyBorder="1" applyAlignment="1">
      <alignment horizontal="left" vertical="center" wrapText="1"/>
    </xf>
    <xf numFmtId="0" fontId="44" fillId="10" borderId="2" xfId="1" applyFont="1" applyFill="1" applyBorder="1" applyAlignment="1">
      <alignment horizontal="left" vertical="center" wrapText="1"/>
    </xf>
    <xf numFmtId="0" fontId="36" fillId="0" borderId="3" xfId="0" applyFont="1" applyBorder="1" applyAlignment="1">
      <alignment horizontal="center" vertical="top" wrapText="1"/>
    </xf>
    <xf numFmtId="0" fontId="36" fillId="0" borderId="8" xfId="0" applyFont="1" applyBorder="1" applyAlignment="1">
      <alignment horizontal="center" vertical="top" wrapText="1"/>
    </xf>
    <xf numFmtId="0" fontId="37" fillId="0" borderId="2" xfId="0" applyFont="1" applyBorder="1" applyAlignment="1">
      <alignment horizontal="center" wrapText="1"/>
    </xf>
    <xf numFmtId="0" fontId="49" fillId="14" borderId="3" xfId="0" applyFont="1" applyFill="1" applyBorder="1" applyAlignment="1">
      <alignment horizontal="center" vertical="center" wrapText="1"/>
    </xf>
    <xf numFmtId="0" fontId="49" fillId="14" borderId="8"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4" borderId="1" xfId="0" applyFont="1" applyFill="1" applyBorder="1" applyAlignment="1">
      <alignment horizontal="center" vertical="center" wrapText="1"/>
    </xf>
    <xf numFmtId="0" fontId="49" fillId="14" borderId="3" xfId="0" applyFont="1" applyFill="1" applyBorder="1" applyAlignment="1">
      <alignment horizontal="center" vertical="center"/>
    </xf>
    <xf numFmtId="0" fontId="49" fillId="14" borderId="8" xfId="0" applyFont="1" applyFill="1" applyBorder="1" applyAlignment="1">
      <alignment horizontal="center" vertical="center"/>
    </xf>
    <xf numFmtId="0" fontId="49" fillId="14" borderId="2" xfId="0" applyFont="1" applyFill="1" applyBorder="1" applyAlignment="1">
      <alignment horizontal="center" vertical="center"/>
    </xf>
    <xf numFmtId="0" fontId="50" fillId="14" borderId="8" xfId="0" applyFont="1" applyFill="1" applyBorder="1" applyAlignment="1">
      <alignment horizontal="center" vertical="center" wrapText="1"/>
    </xf>
    <xf numFmtId="0" fontId="50" fillId="14" borderId="2" xfId="0" applyFont="1" applyFill="1" applyBorder="1" applyAlignment="1">
      <alignment horizontal="center" vertical="center" wrapText="1"/>
    </xf>
    <xf numFmtId="0" fontId="49" fillId="14" borderId="3" xfId="0" applyFont="1" applyFill="1" applyBorder="1" applyAlignment="1">
      <alignment horizontal="center" wrapText="1"/>
    </xf>
    <xf numFmtId="0" fontId="49" fillId="14" borderId="2" xfId="0" applyFont="1" applyFill="1" applyBorder="1" applyAlignment="1">
      <alignment horizontal="center" wrapText="1"/>
    </xf>
    <xf numFmtId="0" fontId="13" fillId="10" borderId="8" xfId="0" applyFont="1" applyFill="1" applyBorder="1" applyAlignment="1">
      <alignment horizontal="center"/>
    </xf>
    <xf numFmtId="0" fontId="34" fillId="0" borderId="9" xfId="1" applyFont="1" applyBorder="1" applyAlignment="1">
      <alignment horizontal="left" vertical="top" wrapText="1"/>
    </xf>
    <xf numFmtId="0" fontId="0" fillId="0" borderId="9" xfId="0" applyBorder="1" applyAlignment="1">
      <alignment wrapText="1"/>
    </xf>
    <xf numFmtId="0" fontId="7" fillId="6" borderId="7" xfId="2" applyFont="1" applyFill="1" applyBorder="1" applyAlignment="1">
      <alignment horizontal="left" vertical="center" wrapText="1"/>
    </xf>
    <xf numFmtId="0" fontId="0" fillId="6" borderId="6" xfId="0" applyFill="1" applyBorder="1" applyAlignment="1">
      <alignment horizontal="left" wrapText="1"/>
    </xf>
    <xf numFmtId="0" fontId="0" fillId="6" borderId="5" xfId="0" applyFill="1" applyBorder="1" applyAlignment="1">
      <alignment horizontal="left" wrapText="1"/>
    </xf>
    <xf numFmtId="0" fontId="16" fillId="6" borderId="4" xfId="1" applyFont="1" applyFill="1" applyBorder="1" applyAlignment="1">
      <alignment horizontal="center" vertical="center"/>
    </xf>
    <xf numFmtId="0" fontId="0" fillId="6" borderId="6" xfId="0" applyFill="1" applyBorder="1" applyAlignment="1">
      <alignment horizontal="center" vertical="center"/>
    </xf>
    <xf numFmtId="0" fontId="0" fillId="6" borderId="5" xfId="0" applyFill="1" applyBorder="1" applyAlignment="1">
      <alignment horizontal="center" vertical="center"/>
    </xf>
    <xf numFmtId="0" fontId="9" fillId="6" borderId="4" xfId="2" applyFont="1" applyFill="1" applyBorder="1" applyAlignment="1">
      <alignment horizontal="left" vertical="center" wrapText="1"/>
    </xf>
    <xf numFmtId="0" fontId="11" fillId="6" borderId="4" xfId="2" applyFont="1" applyFill="1" applyBorder="1" applyAlignment="1">
      <alignment horizontal="left" vertical="center" wrapText="1"/>
    </xf>
    <xf numFmtId="0" fontId="12" fillId="6" borderId="5" xfId="0" applyFont="1" applyFill="1" applyBorder="1" applyAlignment="1">
      <alignment horizontal="left" wrapText="1"/>
    </xf>
    <xf numFmtId="0" fontId="15" fillId="6" borderId="4" xfId="1" applyFont="1" applyFill="1" applyBorder="1" applyAlignment="1">
      <alignment horizontal="center" vertical="center" wrapText="1"/>
    </xf>
    <xf numFmtId="0" fontId="0" fillId="6" borderId="5" xfId="0" applyFill="1" applyBorder="1" applyAlignment="1">
      <alignment horizontal="center" vertical="center" wrapText="1"/>
    </xf>
    <xf numFmtId="0" fontId="9" fillId="6" borderId="4" xfId="2" applyFont="1" applyFill="1" applyBorder="1" applyAlignment="1">
      <alignment horizontal="left" vertical="top" wrapText="1"/>
    </xf>
    <xf numFmtId="0" fontId="9" fillId="6" borderId="5" xfId="2" applyFont="1" applyFill="1" applyBorder="1" applyAlignment="1">
      <alignment horizontal="left" vertical="top" wrapText="1"/>
    </xf>
    <xf numFmtId="0" fontId="13" fillId="6" borderId="4" xfId="2" applyFont="1" applyFill="1" applyBorder="1" applyAlignment="1">
      <alignment horizontal="center" vertical="center" wrapText="1"/>
    </xf>
    <xf numFmtId="0" fontId="9" fillId="6" borderId="4" xfId="2" applyFont="1" applyFill="1" applyBorder="1" applyAlignment="1">
      <alignment horizontal="center" vertical="center" wrapText="1"/>
    </xf>
    <xf numFmtId="0" fontId="9" fillId="6" borderId="5" xfId="2" applyFont="1" applyFill="1" applyBorder="1" applyAlignment="1">
      <alignment horizontal="center" vertical="center" wrapText="1"/>
    </xf>
    <xf numFmtId="0" fontId="19" fillId="6" borderId="4" xfId="0" applyFont="1" applyFill="1" applyBorder="1" applyAlignment="1">
      <alignment horizontal="center" vertical="center"/>
    </xf>
    <xf numFmtId="0" fontId="8" fillId="6" borderId="5" xfId="0" applyFont="1" applyFill="1" applyBorder="1" applyAlignment="1">
      <alignment horizontal="center" vertical="center"/>
    </xf>
    <xf numFmtId="0" fontId="0" fillId="6" borderId="6" xfId="0" applyFill="1" applyBorder="1" applyAlignment="1">
      <alignment horizontal="center" vertical="center" wrapText="1"/>
    </xf>
    <xf numFmtId="0" fontId="13" fillId="6" borderId="5" xfId="0" applyFont="1" applyFill="1" applyBorder="1" applyAlignment="1">
      <alignment horizontal="center" vertical="center" wrapText="1"/>
    </xf>
    <xf numFmtId="0" fontId="15" fillId="6" borderId="4" xfId="1" applyFont="1" applyFill="1" applyBorder="1" applyAlignment="1">
      <alignment horizontal="left" vertical="center" wrapText="1"/>
    </xf>
    <xf numFmtId="0" fontId="0" fillId="6" borderId="5" xfId="0" applyFill="1" applyBorder="1" applyAlignment="1">
      <alignment horizontal="left" vertical="center" wrapText="1"/>
    </xf>
    <xf numFmtId="0" fontId="21" fillId="6" borderId="4" xfId="2" applyFont="1" applyFill="1" applyBorder="1" applyAlignment="1">
      <alignment horizontal="center" vertical="center" wrapText="1"/>
    </xf>
    <xf numFmtId="0" fontId="21" fillId="6" borderId="5" xfId="2" applyFont="1" applyFill="1" applyBorder="1" applyAlignment="1">
      <alignment horizontal="center" vertical="center" wrapText="1"/>
    </xf>
  </cellXfs>
  <cellStyles count="12">
    <cellStyle name="Normal" xfId="0" builtinId="0"/>
    <cellStyle name="Normal 2" xfId="4" xr:uid="{00000000-0005-0000-0000-000001000000}"/>
    <cellStyle name="Normal 2 2" xfId="7" xr:uid="{00000000-0005-0000-0000-000002000000}"/>
    <cellStyle name="Normal 3" xfId="3" xr:uid="{00000000-0005-0000-0000-000003000000}"/>
    <cellStyle name="Normal 3 2" xfId="6" xr:uid="{00000000-0005-0000-0000-000004000000}"/>
    <cellStyle name="Normal 3 3" xfId="9" xr:uid="{00000000-0005-0000-0000-000005000000}"/>
    <cellStyle name="Normal 3 4" xfId="10" xr:uid="{7AE4A7A0-E0C6-48E2-A55A-E51BEC618271}"/>
    <cellStyle name="Normal 4" xfId="5" xr:uid="{00000000-0005-0000-0000-000006000000}"/>
    <cellStyle name="Normal 5" xfId="8" xr:uid="{00000000-0005-0000-0000-000007000000}"/>
    <cellStyle name="Normal 6" xfId="11" xr:uid="{CE7BA41E-AB81-48FA-A4E2-80B2D06D6AC2}"/>
    <cellStyle name="Normal_Sheet1" xfId="1" xr:uid="{00000000-0005-0000-0000-000008000000}"/>
    <cellStyle name="Normal_Sheet1_1" xfId="2" xr:uid="{00000000-0005-0000-0000-000009000000}"/>
  </cellStyles>
  <dxfs count="135">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ont>
        <color theme="1"/>
      </font>
      <fill>
        <patternFill>
          <bgColor rgb="FFFF0000"/>
        </patternFill>
      </fill>
    </dxf>
    <dxf>
      <font>
        <color theme="1"/>
      </font>
      <fill>
        <patternFill>
          <bgColor rgb="FFFFFF00"/>
        </patternFill>
      </fill>
    </dxf>
    <dxf>
      <font>
        <color theme="1"/>
      </font>
      <fill>
        <patternFill>
          <bgColor theme="9" tint="-0.24994659260841701"/>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FFC00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ill>
        <patternFill>
          <bgColor rgb="FF92D05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ill>
        <patternFill>
          <bgColor rgb="FFFFFF0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ont>
        <color auto="1"/>
      </font>
      <fill>
        <patternFill>
          <bgColor rgb="FFFFC000"/>
        </patternFill>
      </fill>
    </dxf>
    <dxf>
      <font>
        <color theme="1"/>
      </font>
      <fill>
        <patternFill>
          <bgColor rgb="FFFF0000"/>
        </patternFill>
      </fill>
    </dxf>
    <dxf>
      <fill>
        <patternFill>
          <bgColor rgb="FF92D050"/>
        </patternFill>
      </fill>
    </dxf>
    <dxf>
      <fill>
        <patternFill>
          <bgColor rgb="FFFFFF0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
      <font>
        <color theme="0"/>
      </font>
      <fill>
        <patternFill>
          <bgColor theme="0"/>
        </patternFill>
      </fill>
      <border>
        <left/>
        <right/>
        <top/>
        <bottom/>
      </border>
    </dxf>
    <dxf>
      <font>
        <color auto="1"/>
      </font>
      <fill>
        <patternFill>
          <bgColor rgb="FFFFC000"/>
        </patternFill>
      </fill>
    </dxf>
    <dxf>
      <font>
        <color theme="1"/>
      </font>
      <fill>
        <patternFill>
          <bgColor rgb="FFFF0000"/>
        </patternFill>
      </fill>
    </dxf>
    <dxf>
      <fill>
        <patternFill>
          <bgColor rgb="FF92D050"/>
        </patternFill>
      </fill>
    </dxf>
  </dxfs>
  <tableStyles count="1" defaultTableStyle="TableStyleMedium9" defaultPivotStyle="PivotStyleLight16">
    <tableStyle name="Invisible" pivot="0" table="0" count="0" xr9:uid="{32A0ED8F-C4E7-4261-BCAE-5AEDCD4EB448}"/>
  </tableStyles>
  <colors>
    <mruColors>
      <color rgb="FF00CC00"/>
      <color rgb="FFFF9933"/>
      <color rgb="FF1B4D6B"/>
      <color rgb="FF0000FF"/>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373380</xdr:colOff>
          <xdr:row>1</xdr:row>
          <xdr:rowOff>68580</xdr:rowOff>
        </xdr:from>
        <xdr:to>
          <xdr:col>15</xdr:col>
          <xdr:colOff>304800</xdr:colOff>
          <xdr:row>3</xdr:row>
          <xdr:rowOff>68580</xdr:rowOff>
        </xdr:to>
        <xdr:sp macro="" textlink="">
          <xdr:nvSpPr>
            <xdr:cNvPr id="2050" name="cmdGener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175260</xdr:colOff>
          <xdr:row>0</xdr:row>
          <xdr:rowOff>190500</xdr:rowOff>
        </xdr:from>
        <xdr:to>
          <xdr:col>17</xdr:col>
          <xdr:colOff>106680</xdr:colOff>
          <xdr:row>3</xdr:row>
          <xdr:rowOff>83820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800" b="0" i="0" u="none" strike="noStrike" baseline="0">
                  <a:solidFill>
                    <a:srgbClr val="000000"/>
                  </a:solidFill>
                  <a:latin typeface="Arial"/>
                  <a:cs typeface="Arial"/>
                </a:rPr>
                <a:t>Nettoyer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29</xdr:row>
      <xdr:rowOff>0</xdr:rowOff>
    </xdr:from>
    <xdr:ext cx="17074933" cy="2540247"/>
    <xdr:sp macro="" textlink="">
      <xdr:nvSpPr>
        <xdr:cNvPr id="10" name="Rectangle 9">
          <a:extLst>
            <a:ext uri="{FF2B5EF4-FFF2-40B4-BE49-F238E27FC236}">
              <a16:creationId xmlns:a16="http://schemas.microsoft.com/office/drawing/2014/main" id="{00000000-0008-0000-0300-00000A000000}"/>
            </a:ext>
          </a:extLst>
        </xdr:cNvPr>
        <xdr:cNvSpPr/>
      </xdr:nvSpPr>
      <xdr:spPr>
        <a:xfrm rot="19817584">
          <a:off x="0" y="83639027"/>
          <a:ext cx="17074933" cy="2540247"/>
        </a:xfrm>
        <a:prstGeom prst="rect">
          <a:avLst/>
        </a:prstGeom>
        <a:noFill/>
      </xdr:spPr>
      <xdr:txBody>
        <a:bodyPr wrap="square" lIns="91440" tIns="45720" rIns="91440" bIns="45720">
          <a:spAutoFit/>
        </a:bodyPr>
        <a:lstStyle/>
        <a:p>
          <a:pPr algn="ctr"/>
          <a:endParaRPr lang="en-US" sz="16600" b="1" cap="none" spc="0">
            <a:ln w="25400">
              <a:solidFill>
                <a:schemeClr val="bg1">
                  <a:lumMod val="50000"/>
                </a:schemeClr>
              </a:solidFill>
              <a:prstDash val="solid"/>
            </a:ln>
            <a:noFill/>
            <a:effectLst/>
            <a:latin typeface="Arial" panose="020B0604020202020204" pitchFamily="34" charset="0"/>
            <a:cs typeface="Arial" panose="020B0604020202020204" pitchFamily="34" charset="0"/>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9B37B-1937-4065-8264-11EB8E71E1CD}">
  <sheetPr codeName="Feuil1">
    <tabColor rgb="FF1B4D6B"/>
    <pageSetUpPr fitToPage="1"/>
  </sheetPr>
  <dimension ref="C1:AC69"/>
  <sheetViews>
    <sheetView showGridLines="0" topLeftCell="D1" zoomScale="115" zoomScaleNormal="115" workbookViewId="0">
      <selection activeCell="N10" sqref="N10"/>
    </sheetView>
  </sheetViews>
  <sheetFormatPr defaultColWidth="10.88671875" defaultRowHeight="13.8"/>
  <cols>
    <col min="1" max="1" width="0.88671875" style="128" customWidth="1"/>
    <col min="2" max="2" width="1.109375" style="128" customWidth="1"/>
    <col min="3" max="3" width="12.88671875" style="128" customWidth="1"/>
    <col min="4" max="4" width="39.5546875" style="129" customWidth="1"/>
    <col min="5" max="5" width="20.88671875" style="129" customWidth="1"/>
    <col min="6" max="6" width="8.5546875" style="129" customWidth="1"/>
    <col min="7" max="7" width="6.44140625" style="129" customWidth="1"/>
    <col min="8" max="8" width="7.88671875" style="129" customWidth="1"/>
    <col min="9" max="9" width="30.109375" style="129" customWidth="1"/>
    <col min="10" max="10" width="7.88671875" style="129" customWidth="1"/>
    <col min="11" max="11" width="17.44140625" style="260" customWidth="1"/>
    <col min="12" max="12" width="11.109375" style="129" customWidth="1"/>
    <col min="13" max="13" width="8.33203125" style="129" customWidth="1"/>
    <col min="14" max="14" width="9" style="129" customWidth="1"/>
    <col min="15" max="15" width="12.5546875" style="129" customWidth="1"/>
    <col min="16" max="16" width="9.109375" style="129" customWidth="1"/>
    <col min="17" max="17" width="14.44140625" style="129" customWidth="1"/>
    <col min="18" max="18" width="37.109375" style="129" customWidth="1"/>
    <col min="19" max="19" width="10.109375" style="129" customWidth="1"/>
    <col min="20" max="20" width="8.33203125" style="129" customWidth="1"/>
    <col min="21" max="21" width="10.5546875" style="128" customWidth="1"/>
    <col min="22" max="22" width="37.109375" style="128" customWidth="1"/>
    <col min="23" max="23" width="10.5546875" style="128" bestFit="1" customWidth="1"/>
    <col min="24" max="24" width="15.5546875" style="128" customWidth="1"/>
    <col min="25" max="25" width="6.6640625" style="128" customWidth="1"/>
    <col min="26" max="26" width="6.44140625" style="128" customWidth="1"/>
    <col min="27" max="27" width="10.88671875" style="128" customWidth="1"/>
    <col min="28" max="28" width="7.88671875" style="128" customWidth="1"/>
    <col min="29" max="29" width="17.44140625" style="128" customWidth="1"/>
    <col min="30" max="16384" width="10.88671875" style="128"/>
  </cols>
  <sheetData>
    <row r="1" spans="3:29" ht="14.4" thickBot="1">
      <c r="D1" s="156" t="s">
        <v>292</v>
      </c>
      <c r="E1" s="327" t="s">
        <v>293</v>
      </c>
      <c r="F1" s="169" t="s">
        <v>296</v>
      </c>
      <c r="G1" s="331"/>
      <c r="H1" s="331"/>
      <c r="I1" s="331"/>
    </row>
    <row r="2" spans="3:29" ht="14.4" thickBot="1">
      <c r="D2" s="158" t="s">
        <v>299</v>
      </c>
      <c r="E2" s="328" t="s">
        <v>300</v>
      </c>
      <c r="F2" s="169" t="s">
        <v>303</v>
      </c>
      <c r="G2" s="331"/>
      <c r="H2" s="331"/>
      <c r="I2" s="331"/>
    </row>
    <row r="3" spans="3:29" ht="12.9" customHeight="1" thickBot="1">
      <c r="D3" s="162" t="s">
        <v>305</v>
      </c>
      <c r="E3" s="329" t="s">
        <v>306</v>
      </c>
      <c r="F3" s="169" t="s">
        <v>309</v>
      </c>
      <c r="G3" s="331"/>
      <c r="H3" s="331"/>
      <c r="I3" s="331"/>
    </row>
    <row r="4" spans="3:29" ht="14.4" thickBot="1">
      <c r="D4" s="160" t="s">
        <v>311</v>
      </c>
      <c r="E4" s="330" t="s">
        <v>312</v>
      </c>
      <c r="F4" s="169" t="s">
        <v>315</v>
      </c>
      <c r="G4" s="331"/>
      <c r="H4" s="331"/>
      <c r="I4" s="331"/>
    </row>
    <row r="6" spans="3:29" ht="14.4" thickBot="1">
      <c r="O6" s="333"/>
    </row>
    <row r="7" spans="3:29" ht="25.8" thickBot="1">
      <c r="C7" s="376" t="s">
        <v>0</v>
      </c>
      <c r="D7" s="377"/>
      <c r="E7" s="377"/>
      <c r="F7" s="377"/>
      <c r="G7" s="377"/>
      <c r="H7" s="377"/>
      <c r="I7" s="377"/>
      <c r="J7" s="377"/>
      <c r="K7" s="377"/>
      <c r="L7" s="377"/>
      <c r="M7" s="377"/>
      <c r="N7" s="378"/>
      <c r="O7" s="369" t="s">
        <v>1</v>
      </c>
      <c r="P7" s="369"/>
      <c r="Q7" s="369"/>
      <c r="R7" s="369"/>
      <c r="S7" s="369"/>
      <c r="T7" s="369"/>
      <c r="U7" s="369"/>
      <c r="V7" s="369"/>
      <c r="W7" s="369"/>
      <c r="X7" s="369"/>
      <c r="Y7" s="369"/>
      <c r="Z7" s="369"/>
      <c r="AA7" s="369"/>
      <c r="AB7" s="369"/>
      <c r="AC7" s="370"/>
    </row>
    <row r="8" spans="3:29" ht="27.6" customHeight="1" thickBot="1">
      <c r="C8" s="362" t="s">
        <v>2</v>
      </c>
      <c r="D8" s="364" t="s">
        <v>3</v>
      </c>
      <c r="E8" s="362" t="s">
        <v>4</v>
      </c>
      <c r="F8" s="362" t="s">
        <v>5</v>
      </c>
      <c r="G8" s="362" t="s">
        <v>6</v>
      </c>
      <c r="H8" s="362" t="s">
        <v>660</v>
      </c>
      <c r="I8" s="362" t="s">
        <v>7</v>
      </c>
      <c r="J8" s="366" t="s">
        <v>8</v>
      </c>
      <c r="K8" s="367"/>
      <c r="L8" s="372" t="s">
        <v>9</v>
      </c>
      <c r="M8" s="366"/>
      <c r="N8" s="373"/>
      <c r="O8" s="351" t="s">
        <v>10</v>
      </c>
      <c r="P8" s="353" t="s">
        <v>11</v>
      </c>
      <c r="Q8" s="353" t="s">
        <v>12</v>
      </c>
      <c r="R8" s="353" t="s">
        <v>13</v>
      </c>
      <c r="S8" s="360" t="s">
        <v>14</v>
      </c>
      <c r="T8" s="361"/>
      <c r="U8" s="361"/>
      <c r="V8" s="353" t="s">
        <v>15</v>
      </c>
      <c r="W8" s="351" t="s">
        <v>16</v>
      </c>
      <c r="X8" s="353" t="s">
        <v>17</v>
      </c>
      <c r="Y8" s="353" t="s">
        <v>18</v>
      </c>
      <c r="Z8" s="353" t="s">
        <v>19</v>
      </c>
      <c r="AA8" s="353" t="s">
        <v>20</v>
      </c>
      <c r="AB8" s="353" t="s">
        <v>21</v>
      </c>
      <c r="AC8" s="351" t="s">
        <v>22</v>
      </c>
    </row>
    <row r="9" spans="3:29" s="131" customFormat="1" ht="51.9" customHeight="1" thickBot="1">
      <c r="C9" s="368"/>
      <c r="D9" s="365"/>
      <c r="E9" s="368"/>
      <c r="F9" s="363"/>
      <c r="G9" s="363"/>
      <c r="H9" s="363"/>
      <c r="I9" s="368"/>
      <c r="J9" s="132" t="s">
        <v>23</v>
      </c>
      <c r="K9" s="133" t="s">
        <v>24</v>
      </c>
      <c r="L9" s="134" t="s">
        <v>25</v>
      </c>
      <c r="M9" s="135" t="s">
        <v>26</v>
      </c>
      <c r="N9" s="305" t="s">
        <v>27</v>
      </c>
      <c r="O9" s="352"/>
      <c r="P9" s="355"/>
      <c r="Q9" s="352"/>
      <c r="R9" s="354"/>
      <c r="S9" s="136" t="s">
        <v>28</v>
      </c>
      <c r="T9" s="137" t="s">
        <v>26</v>
      </c>
      <c r="U9" s="138" t="s">
        <v>29</v>
      </c>
      <c r="V9" s="354"/>
      <c r="W9" s="352"/>
      <c r="X9" s="354"/>
      <c r="Y9" s="354"/>
      <c r="Z9" s="354"/>
      <c r="AA9" s="354"/>
      <c r="AB9" s="354"/>
      <c r="AC9" s="352"/>
    </row>
    <row r="10" spans="3:29" s="119" customFormat="1" ht="61.8" thickBot="1">
      <c r="C10" s="356" t="s">
        <v>30</v>
      </c>
      <c r="D10" s="188" t="s">
        <v>511</v>
      </c>
      <c r="E10" s="189" t="s">
        <v>520</v>
      </c>
      <c r="F10" s="201" t="s">
        <v>31</v>
      </c>
      <c r="G10" s="201" t="s">
        <v>32</v>
      </c>
      <c r="H10" s="326" cm="1">
        <f t="array" ref="H10">_xlfn.IFS(N10&lt;5,4,0,N10&gt;4,N10&lt;=9,3,0,N10&gt;9,N10&lt;=15,2,0,N10&gt;15,1,1)</f>
        <v>2</v>
      </c>
      <c r="I10" s="189" t="s">
        <v>33</v>
      </c>
      <c r="J10" s="201" t="s">
        <v>34</v>
      </c>
      <c r="K10" s="216" t="s">
        <v>35</v>
      </c>
      <c r="L10" s="199">
        <v>3</v>
      </c>
      <c r="M10" s="200">
        <v>4</v>
      </c>
      <c r="N10" s="306">
        <f>L10*M10</f>
        <v>12</v>
      </c>
      <c r="O10" s="301" t="s">
        <v>36</v>
      </c>
      <c r="P10" s="188"/>
      <c r="Q10" s="232" t="s">
        <v>37</v>
      </c>
      <c r="R10" s="188" t="s">
        <v>38</v>
      </c>
      <c r="S10" s="199">
        <v>2</v>
      </c>
      <c r="T10" s="200">
        <v>3</v>
      </c>
      <c r="U10" s="281">
        <f>S10*T10</f>
        <v>6</v>
      </c>
      <c r="V10" s="188" t="s">
        <v>39</v>
      </c>
      <c r="W10" s="216" t="s">
        <v>40</v>
      </c>
      <c r="X10" s="189" t="s">
        <v>35</v>
      </c>
      <c r="Y10" s="225"/>
      <c r="Z10" s="197"/>
      <c r="AA10" s="216" t="s">
        <v>40</v>
      </c>
      <c r="AB10" s="292" t="s">
        <v>41</v>
      </c>
      <c r="AC10" s="222" t="s">
        <v>42</v>
      </c>
    </row>
    <row r="11" spans="3:29" s="119" customFormat="1" ht="51.6" thickBot="1">
      <c r="C11" s="358"/>
      <c r="D11" s="190" t="s">
        <v>43</v>
      </c>
      <c r="E11" s="191"/>
      <c r="F11" s="202" t="s">
        <v>31</v>
      </c>
      <c r="G11" s="202" t="s">
        <v>44</v>
      </c>
      <c r="H11" s="326" cm="1">
        <f t="array" ref="H11">_xlfn.IFS(N11&lt;5,4,0,N11&gt;4,N11&lt;=9,3,0,N11&gt;9,N11&lt;=15,2,0,N11&gt;15,1,1)</f>
        <v>2</v>
      </c>
      <c r="I11" s="191" t="s">
        <v>45</v>
      </c>
      <c r="J11" s="202" t="s">
        <v>34</v>
      </c>
      <c r="K11" s="218" t="s">
        <v>46</v>
      </c>
      <c r="L11" s="282">
        <v>3</v>
      </c>
      <c r="M11" s="228">
        <v>4</v>
      </c>
      <c r="N11" s="307">
        <f>L11*M11</f>
        <v>12</v>
      </c>
      <c r="O11" s="302" t="s">
        <v>36</v>
      </c>
      <c r="P11" s="190"/>
      <c r="Q11" s="233" t="s">
        <v>37</v>
      </c>
      <c r="R11" s="190" t="s">
        <v>47</v>
      </c>
      <c r="S11" s="284">
        <v>3</v>
      </c>
      <c r="T11" s="285">
        <v>3</v>
      </c>
      <c r="U11" s="286">
        <f t="shared" ref="U11:U66" si="0">S11*T11</f>
        <v>9</v>
      </c>
      <c r="V11" s="190" t="s">
        <v>48</v>
      </c>
      <c r="W11" s="218" t="s">
        <v>40</v>
      </c>
      <c r="X11" s="191" t="s">
        <v>46</v>
      </c>
      <c r="Y11" s="248"/>
      <c r="Z11" s="203"/>
      <c r="AA11" s="218" t="s">
        <v>40</v>
      </c>
      <c r="AB11" s="295" t="s">
        <v>41</v>
      </c>
      <c r="AC11" s="219" t="s">
        <v>49</v>
      </c>
    </row>
    <row r="12" spans="3:29" s="119" customFormat="1" ht="61.8" thickBot="1">
      <c r="C12" s="371" t="s">
        <v>50</v>
      </c>
      <c r="D12" s="192" t="s">
        <v>51</v>
      </c>
      <c r="E12" s="193" t="s">
        <v>519</v>
      </c>
      <c r="F12" s="204" t="s">
        <v>31</v>
      </c>
      <c r="G12" s="204" t="s">
        <v>52</v>
      </c>
      <c r="H12" s="326" cm="1">
        <f t="array" ref="H12">_xlfn.IFS(N12&lt;5,4,0,N12&gt;4,N12&lt;=9,3,0,N12&gt;9,N12&lt;=15,2,0,N12&gt;15,1,1)</f>
        <v>3</v>
      </c>
      <c r="I12" s="193" t="s">
        <v>53</v>
      </c>
      <c r="J12" s="204" t="s">
        <v>34</v>
      </c>
      <c r="K12" s="257" t="s">
        <v>54</v>
      </c>
      <c r="L12" s="199">
        <v>3</v>
      </c>
      <c r="M12" s="283">
        <v>3</v>
      </c>
      <c r="N12" s="308">
        <f>L12*M12</f>
        <v>9</v>
      </c>
      <c r="O12" s="301" t="s">
        <v>55</v>
      </c>
      <c r="P12" s="220"/>
      <c r="Q12" s="232" t="s">
        <v>37</v>
      </c>
      <c r="R12" s="249" t="s">
        <v>56</v>
      </c>
      <c r="S12" s="199">
        <v>2</v>
      </c>
      <c r="T12" s="200">
        <v>3</v>
      </c>
      <c r="U12" s="281">
        <f t="shared" si="0"/>
        <v>6</v>
      </c>
      <c r="V12" s="220" t="s">
        <v>57</v>
      </c>
      <c r="W12" s="257" t="s">
        <v>40</v>
      </c>
      <c r="X12" s="257" t="s">
        <v>54</v>
      </c>
      <c r="Y12" s="205"/>
      <c r="Z12" s="205"/>
      <c r="AA12" s="257" t="s">
        <v>58</v>
      </c>
      <c r="AB12" s="296" t="s">
        <v>41</v>
      </c>
      <c r="AC12" s="220" t="s">
        <v>59</v>
      </c>
    </row>
    <row r="13" spans="3:29" s="119" customFormat="1" ht="55.5" customHeight="1" thickBot="1">
      <c r="C13" s="357"/>
      <c r="D13" s="194" t="s">
        <v>60</v>
      </c>
      <c r="E13" s="195" t="s">
        <v>61</v>
      </c>
      <c r="F13" s="204" t="s">
        <v>31</v>
      </c>
      <c r="G13" s="204" t="s">
        <v>62</v>
      </c>
      <c r="H13" s="326" cm="1">
        <f t="array" ref="H13">_xlfn.IFS(N13&lt;5,4,0,N13&gt;4,N13&lt;=9,3,0,N13&gt;9,N13&lt;=15,2,0,N13&gt;15,1,1)</f>
        <v>3</v>
      </c>
      <c r="I13" s="195" t="s">
        <v>63</v>
      </c>
      <c r="J13" s="204" t="s">
        <v>34</v>
      </c>
      <c r="K13" s="217" t="s">
        <v>64</v>
      </c>
      <c r="L13" s="229">
        <v>1</v>
      </c>
      <c r="M13" s="278">
        <v>5</v>
      </c>
      <c r="N13" s="309">
        <f>L13*M13</f>
        <v>5</v>
      </c>
      <c r="O13" s="303" t="s">
        <v>55</v>
      </c>
      <c r="P13" s="221"/>
      <c r="Q13" s="234" t="s">
        <v>37</v>
      </c>
      <c r="R13" s="215" t="s">
        <v>65</v>
      </c>
      <c r="S13" s="229">
        <v>1</v>
      </c>
      <c r="T13" s="278">
        <v>4</v>
      </c>
      <c r="U13" s="287">
        <f t="shared" si="0"/>
        <v>4</v>
      </c>
      <c r="V13" s="221" t="s">
        <v>66</v>
      </c>
      <c r="W13" s="217" t="s">
        <v>67</v>
      </c>
      <c r="X13" s="217" t="s">
        <v>68</v>
      </c>
      <c r="Y13" s="206"/>
      <c r="Z13" s="206"/>
      <c r="AA13" s="217" t="s">
        <v>40</v>
      </c>
      <c r="AB13" s="293" t="s">
        <v>41</v>
      </c>
      <c r="AC13" s="252"/>
    </row>
    <row r="14" spans="3:29" s="119" customFormat="1" ht="63.6" customHeight="1" thickBot="1">
      <c r="C14" s="357"/>
      <c r="D14" s="194" t="s">
        <v>69</v>
      </c>
      <c r="E14" s="195" t="s">
        <v>70</v>
      </c>
      <c r="F14" s="204" t="s">
        <v>31</v>
      </c>
      <c r="G14" s="204" t="s">
        <v>71</v>
      </c>
      <c r="H14" s="326" cm="1">
        <f t="array" ref="H14">_xlfn.IFS(N14&lt;5,4,0,N14&gt;4,N14&lt;=9,3,0,N14&gt;9,N14&lt;=15,2,0,N14&gt;15,1,1)</f>
        <v>3</v>
      </c>
      <c r="I14" s="195" t="s">
        <v>72</v>
      </c>
      <c r="J14" s="204" t="s">
        <v>34</v>
      </c>
      <c r="K14" s="217" t="s">
        <v>73</v>
      </c>
      <c r="L14" s="229">
        <v>3</v>
      </c>
      <c r="M14" s="278">
        <v>3</v>
      </c>
      <c r="N14" s="309">
        <f t="shared" ref="N14:N66" si="1">L14*M14</f>
        <v>9</v>
      </c>
      <c r="O14" s="303" t="s">
        <v>36</v>
      </c>
      <c r="P14" s="221"/>
      <c r="Q14" s="234" t="s">
        <v>37</v>
      </c>
      <c r="R14" s="215" t="s">
        <v>74</v>
      </c>
      <c r="S14" s="229">
        <v>3</v>
      </c>
      <c r="T14" s="278">
        <v>2</v>
      </c>
      <c r="U14" s="287">
        <f t="shared" si="0"/>
        <v>6</v>
      </c>
      <c r="V14" s="221" t="s">
        <v>75</v>
      </c>
      <c r="W14" s="217" t="s">
        <v>40</v>
      </c>
      <c r="X14" s="217" t="s">
        <v>73</v>
      </c>
      <c r="Y14" s="206"/>
      <c r="Z14" s="206"/>
      <c r="AA14" s="217" t="s">
        <v>40</v>
      </c>
      <c r="AB14" s="293" t="s">
        <v>41</v>
      </c>
      <c r="AC14" s="252"/>
    </row>
    <row r="15" spans="3:29" s="119" customFormat="1" ht="41.4" thickBot="1">
      <c r="C15" s="357"/>
      <c r="D15" s="194" t="s">
        <v>76</v>
      </c>
      <c r="E15" s="374" t="s">
        <v>512</v>
      </c>
      <c r="F15" s="204" t="s">
        <v>77</v>
      </c>
      <c r="G15" s="204" t="s">
        <v>78</v>
      </c>
      <c r="H15" s="326" cm="1">
        <f t="array" ref="H15">_xlfn.IFS(N15&lt;5,4,0,N15&gt;4,N15&lt;=9,3,0,N15&gt;9,N15&lt;=15,2,0,N15&gt;15,1,1)</f>
        <v>2</v>
      </c>
      <c r="I15" s="195" t="s">
        <v>79</v>
      </c>
      <c r="J15" s="204" t="s">
        <v>80</v>
      </c>
      <c r="K15" s="217" t="s">
        <v>81</v>
      </c>
      <c r="L15" s="229">
        <v>3</v>
      </c>
      <c r="M15" s="278">
        <v>5</v>
      </c>
      <c r="N15" s="309">
        <f t="shared" si="1"/>
        <v>15</v>
      </c>
      <c r="O15" s="303" t="s">
        <v>82</v>
      </c>
      <c r="P15" s="221"/>
      <c r="Q15" s="234" t="s">
        <v>37</v>
      </c>
      <c r="R15" s="215" t="s">
        <v>83</v>
      </c>
      <c r="S15" s="229">
        <v>3</v>
      </c>
      <c r="T15" s="278">
        <v>5</v>
      </c>
      <c r="U15" s="287">
        <f t="shared" si="0"/>
        <v>15</v>
      </c>
      <c r="V15" s="221" t="s">
        <v>84</v>
      </c>
      <c r="W15" s="217" t="s">
        <v>40</v>
      </c>
      <c r="X15" s="217" t="s">
        <v>81</v>
      </c>
      <c r="Y15" s="206"/>
      <c r="Z15" s="206"/>
      <c r="AA15" s="217" t="s">
        <v>40</v>
      </c>
      <c r="AB15" s="293" t="s">
        <v>41</v>
      </c>
      <c r="AC15" s="252"/>
    </row>
    <row r="16" spans="3:29" s="119" customFormat="1" ht="41.4" thickBot="1">
      <c r="C16" s="357"/>
      <c r="D16" s="194" t="s">
        <v>85</v>
      </c>
      <c r="E16" s="375"/>
      <c r="F16" s="204" t="s">
        <v>77</v>
      </c>
      <c r="G16" s="204" t="s">
        <v>86</v>
      </c>
      <c r="H16" s="326" cm="1">
        <f t="array" ref="H16">_xlfn.IFS(N16&lt;5,4,0,N16&gt;4,N16&lt;=9,3,0,N16&gt;9,N16&lt;=15,2,0,N16&gt;15,1,1)</f>
        <v>2</v>
      </c>
      <c r="I16" s="195" t="s">
        <v>87</v>
      </c>
      <c r="J16" s="204" t="s">
        <v>80</v>
      </c>
      <c r="K16" s="217" t="s">
        <v>81</v>
      </c>
      <c r="L16" s="284">
        <v>3</v>
      </c>
      <c r="M16" s="231">
        <v>5</v>
      </c>
      <c r="N16" s="310">
        <f t="shared" si="1"/>
        <v>15</v>
      </c>
      <c r="O16" s="303" t="s">
        <v>82</v>
      </c>
      <c r="P16" s="221"/>
      <c r="Q16" s="234" t="s">
        <v>37</v>
      </c>
      <c r="R16" s="215" t="s">
        <v>83</v>
      </c>
      <c r="S16" s="229">
        <v>3</v>
      </c>
      <c r="T16" s="278">
        <v>5</v>
      </c>
      <c r="U16" s="287">
        <f t="shared" si="0"/>
        <v>15</v>
      </c>
      <c r="V16" s="221" t="s">
        <v>84</v>
      </c>
      <c r="W16" s="217" t="s">
        <v>40</v>
      </c>
      <c r="X16" s="217" t="s">
        <v>81</v>
      </c>
      <c r="Y16" s="206"/>
      <c r="Z16" s="206"/>
      <c r="AA16" s="217" t="s">
        <v>40</v>
      </c>
      <c r="AB16" s="293" t="s">
        <v>41</v>
      </c>
      <c r="AC16" s="252"/>
    </row>
    <row r="17" spans="3:29" s="119" customFormat="1" ht="63.9" customHeight="1" thickBot="1">
      <c r="C17" s="357"/>
      <c r="D17" s="194" t="s">
        <v>88</v>
      </c>
      <c r="E17" s="195" t="s">
        <v>89</v>
      </c>
      <c r="F17" s="204" t="s">
        <v>31</v>
      </c>
      <c r="G17" s="204" t="s">
        <v>90</v>
      </c>
      <c r="H17" s="326" cm="1">
        <f t="array" ref="H17">_xlfn.IFS(N17&lt;5,4,0,N17&gt;4,N17&lt;=9,3,0,N17&gt;9,N17&lt;=15,2,0,N17&gt;15,1,1)</f>
        <v>2</v>
      </c>
      <c r="I17" s="195" t="s">
        <v>91</v>
      </c>
      <c r="J17" s="204" t="s">
        <v>34</v>
      </c>
      <c r="K17" s="217" t="s">
        <v>92</v>
      </c>
      <c r="L17" s="199">
        <v>3</v>
      </c>
      <c r="M17" s="200">
        <v>4</v>
      </c>
      <c r="N17" s="306">
        <f t="shared" si="1"/>
        <v>12</v>
      </c>
      <c r="O17" s="303" t="s">
        <v>55</v>
      </c>
      <c r="P17" s="221"/>
      <c r="Q17" s="234" t="s">
        <v>37</v>
      </c>
      <c r="R17" s="215" t="s">
        <v>93</v>
      </c>
      <c r="S17" s="229">
        <v>2</v>
      </c>
      <c r="T17" s="278">
        <v>4</v>
      </c>
      <c r="U17" s="287">
        <f t="shared" si="0"/>
        <v>8</v>
      </c>
      <c r="V17" s="290" t="s">
        <v>94</v>
      </c>
      <c r="W17" s="217" t="s">
        <v>95</v>
      </c>
      <c r="X17" s="291" t="s">
        <v>92</v>
      </c>
      <c r="Y17" s="206"/>
      <c r="Z17" s="206"/>
      <c r="AA17" s="217" t="s">
        <v>67</v>
      </c>
      <c r="AB17" s="293" t="s">
        <v>41</v>
      </c>
      <c r="AC17" s="221" t="s">
        <v>96</v>
      </c>
    </row>
    <row r="18" spans="3:29" s="119" customFormat="1" ht="41.4" thickBot="1">
      <c r="C18" s="357"/>
      <c r="D18" s="194" t="s">
        <v>97</v>
      </c>
      <c r="E18" s="195" t="s">
        <v>89</v>
      </c>
      <c r="F18" s="204" t="s">
        <v>31</v>
      </c>
      <c r="G18" s="204" t="s">
        <v>98</v>
      </c>
      <c r="H18" s="326" cm="1">
        <f t="array" ref="H18">_xlfn.IFS(N18&lt;5,4,0,N18&gt;4,N18&lt;=9,3,0,N18&gt;9,N18&lt;=15,2,0,N18&gt;15,1,1)</f>
        <v>2</v>
      </c>
      <c r="I18" s="195" t="s">
        <v>99</v>
      </c>
      <c r="J18" s="204" t="s">
        <v>34</v>
      </c>
      <c r="K18" s="217" t="s">
        <v>92</v>
      </c>
      <c r="L18" s="229">
        <v>3</v>
      </c>
      <c r="M18" s="278">
        <v>4</v>
      </c>
      <c r="N18" s="309">
        <f t="shared" si="1"/>
        <v>12</v>
      </c>
      <c r="O18" s="303" t="s">
        <v>55</v>
      </c>
      <c r="P18" s="221"/>
      <c r="Q18" s="234" t="s">
        <v>37</v>
      </c>
      <c r="R18" s="215" t="s">
        <v>100</v>
      </c>
      <c r="S18" s="229">
        <v>2</v>
      </c>
      <c r="T18" s="278">
        <v>4</v>
      </c>
      <c r="U18" s="287">
        <f t="shared" si="0"/>
        <v>8</v>
      </c>
      <c r="V18" s="290" t="s">
        <v>101</v>
      </c>
      <c r="W18" s="217" t="s">
        <v>102</v>
      </c>
      <c r="X18" s="291" t="s">
        <v>92</v>
      </c>
      <c r="Y18" s="206"/>
      <c r="Z18" s="206"/>
      <c r="AA18" s="217" t="s">
        <v>95</v>
      </c>
      <c r="AB18" s="293" t="s">
        <v>41</v>
      </c>
      <c r="AC18" s="221" t="s">
        <v>103</v>
      </c>
    </row>
    <row r="19" spans="3:29" s="119" customFormat="1" ht="52.5" customHeight="1" thickBot="1">
      <c r="C19" s="357"/>
      <c r="D19" s="194" t="s">
        <v>104</v>
      </c>
      <c r="E19" s="195" t="s">
        <v>513</v>
      </c>
      <c r="F19" s="204" t="s">
        <v>77</v>
      </c>
      <c r="G19" s="204" t="s">
        <v>105</v>
      </c>
      <c r="H19" s="326" cm="1">
        <f t="array" ref="H19">_xlfn.IFS(N19&lt;5,4,0,N19&gt;4,N19&lt;=9,3,0,N19&gt;9,N19&lt;=15,2,0,N19&gt;15,1,1)</f>
        <v>1</v>
      </c>
      <c r="I19" s="195" t="s">
        <v>106</v>
      </c>
      <c r="J19" s="204" t="s">
        <v>34</v>
      </c>
      <c r="K19" s="217" t="s">
        <v>107</v>
      </c>
      <c r="L19" s="229">
        <v>4</v>
      </c>
      <c r="M19" s="278">
        <v>4</v>
      </c>
      <c r="N19" s="309">
        <f t="shared" si="1"/>
        <v>16</v>
      </c>
      <c r="O19" s="303" t="s">
        <v>36</v>
      </c>
      <c r="P19" s="221"/>
      <c r="Q19" s="234" t="s">
        <v>37</v>
      </c>
      <c r="R19" s="215" t="s">
        <v>108</v>
      </c>
      <c r="S19" s="229">
        <v>3</v>
      </c>
      <c r="T19" s="278">
        <v>4</v>
      </c>
      <c r="U19" s="287">
        <f t="shared" si="0"/>
        <v>12</v>
      </c>
      <c r="V19" s="290" t="s">
        <v>109</v>
      </c>
      <c r="W19" s="217" t="s">
        <v>67</v>
      </c>
      <c r="X19" s="217" t="s">
        <v>107</v>
      </c>
      <c r="Y19" s="206"/>
      <c r="Z19" s="206"/>
      <c r="AA19" s="217" t="s">
        <v>67</v>
      </c>
      <c r="AB19" s="293" t="s">
        <v>41</v>
      </c>
      <c r="AC19" s="221" t="s">
        <v>110</v>
      </c>
    </row>
    <row r="20" spans="3:29" s="119" customFormat="1" ht="41.4" thickBot="1">
      <c r="C20" s="357"/>
      <c r="D20" s="194" t="s">
        <v>111</v>
      </c>
      <c r="E20" s="195" t="s">
        <v>112</v>
      </c>
      <c r="F20" s="204" t="s">
        <v>77</v>
      </c>
      <c r="G20" s="204" t="s">
        <v>113</v>
      </c>
      <c r="H20" s="326" cm="1">
        <f t="array" ref="H20">_xlfn.IFS(N20&lt;5,4,0,N20&gt;4,N20&lt;=9,3,0,N20&gt;9,N20&lt;=15,2,0,N20&gt;15,1,1)</f>
        <v>2</v>
      </c>
      <c r="I20" s="195" t="s">
        <v>114</v>
      </c>
      <c r="J20" s="204" t="s">
        <v>34</v>
      </c>
      <c r="K20" s="217" t="s">
        <v>115</v>
      </c>
      <c r="L20" s="229">
        <v>3</v>
      </c>
      <c r="M20" s="278">
        <v>4</v>
      </c>
      <c r="N20" s="309">
        <f t="shared" si="1"/>
        <v>12</v>
      </c>
      <c r="O20" s="303" t="s">
        <v>55</v>
      </c>
      <c r="P20" s="221"/>
      <c r="Q20" s="234" t="s">
        <v>37</v>
      </c>
      <c r="R20" s="215" t="s">
        <v>116</v>
      </c>
      <c r="S20" s="229">
        <v>2</v>
      </c>
      <c r="T20" s="278">
        <v>4</v>
      </c>
      <c r="U20" s="287">
        <f t="shared" si="0"/>
        <v>8</v>
      </c>
      <c r="V20" s="221" t="s">
        <v>117</v>
      </c>
      <c r="W20" s="217" t="s">
        <v>67</v>
      </c>
      <c r="X20" s="217" t="s">
        <v>107</v>
      </c>
      <c r="Y20" s="206"/>
      <c r="Z20" s="206"/>
      <c r="AA20" s="217" t="s">
        <v>67</v>
      </c>
      <c r="AB20" s="293" t="s">
        <v>41</v>
      </c>
      <c r="AC20" s="221" t="s">
        <v>118</v>
      </c>
    </row>
    <row r="21" spans="3:29" s="119" customFormat="1" ht="105" customHeight="1" thickBot="1">
      <c r="C21" s="357"/>
      <c r="D21" s="194" t="s">
        <v>119</v>
      </c>
      <c r="E21" s="195" t="s">
        <v>120</v>
      </c>
      <c r="F21" s="204" t="s">
        <v>31</v>
      </c>
      <c r="G21" s="204" t="s">
        <v>121</v>
      </c>
      <c r="H21" s="326" cm="1">
        <f t="array" ref="H21">_xlfn.IFS(N21&lt;5,4,0,N21&gt;4,N21&lt;=9,3,0,N21&gt;9,N21&lt;=15,2,0,N21&gt;15,1,1)</f>
        <v>1</v>
      </c>
      <c r="I21" s="195" t="s">
        <v>122</v>
      </c>
      <c r="J21" s="204" t="s">
        <v>34</v>
      </c>
      <c r="K21" s="217" t="s">
        <v>123</v>
      </c>
      <c r="L21" s="229">
        <v>4</v>
      </c>
      <c r="M21" s="278">
        <v>4</v>
      </c>
      <c r="N21" s="309">
        <f t="shared" si="1"/>
        <v>16</v>
      </c>
      <c r="O21" s="303" t="s">
        <v>55</v>
      </c>
      <c r="P21" s="221"/>
      <c r="Q21" s="234" t="s">
        <v>37</v>
      </c>
      <c r="R21" s="294" t="s">
        <v>124</v>
      </c>
      <c r="S21" s="229">
        <v>3</v>
      </c>
      <c r="T21" s="278">
        <v>4</v>
      </c>
      <c r="U21" s="287">
        <f t="shared" si="0"/>
        <v>12</v>
      </c>
      <c r="V21" s="221" t="s">
        <v>125</v>
      </c>
      <c r="W21" s="217" t="s">
        <v>102</v>
      </c>
      <c r="X21" s="217" t="s">
        <v>123</v>
      </c>
      <c r="Y21" s="206"/>
      <c r="Z21" s="206"/>
      <c r="AA21" s="217" t="s">
        <v>126</v>
      </c>
      <c r="AB21" s="293" t="s">
        <v>41</v>
      </c>
      <c r="AC21" s="221" t="s">
        <v>127</v>
      </c>
    </row>
    <row r="22" spans="3:29" s="119" customFormat="1" ht="77.400000000000006" customHeight="1" thickBot="1">
      <c r="C22" s="357"/>
      <c r="D22" s="194" t="s">
        <v>128</v>
      </c>
      <c r="E22" s="195" t="s">
        <v>129</v>
      </c>
      <c r="F22" s="204" t="s">
        <v>31</v>
      </c>
      <c r="G22" s="204" t="s">
        <v>130</v>
      </c>
      <c r="H22" s="326" cm="1">
        <f t="array" ref="H22">_xlfn.IFS(N22&lt;5,4,0,N22&gt;4,N22&lt;=9,3,0,N22&gt;9,N22&lt;=15,2,0,N22&gt;15,1,1)</f>
        <v>1</v>
      </c>
      <c r="I22" s="195" t="s">
        <v>131</v>
      </c>
      <c r="J22" s="204" t="s">
        <v>34</v>
      </c>
      <c r="K22" s="217" t="s">
        <v>92</v>
      </c>
      <c r="L22" s="229">
        <v>4</v>
      </c>
      <c r="M22" s="278">
        <v>4</v>
      </c>
      <c r="N22" s="309">
        <f t="shared" si="1"/>
        <v>16</v>
      </c>
      <c r="O22" s="303" t="s">
        <v>55</v>
      </c>
      <c r="P22" s="221"/>
      <c r="Q22" s="234" t="s">
        <v>37</v>
      </c>
      <c r="R22" s="215" t="s">
        <v>132</v>
      </c>
      <c r="S22" s="229">
        <v>3</v>
      </c>
      <c r="T22" s="278">
        <v>3</v>
      </c>
      <c r="U22" s="287">
        <f t="shared" si="0"/>
        <v>9</v>
      </c>
      <c r="V22" s="221" t="s">
        <v>133</v>
      </c>
      <c r="W22" s="217" t="s">
        <v>134</v>
      </c>
      <c r="X22" s="291" t="s">
        <v>92</v>
      </c>
      <c r="Y22" s="206"/>
      <c r="Z22" s="293"/>
      <c r="AA22" s="217" t="s">
        <v>134</v>
      </c>
      <c r="AB22" s="293" t="s">
        <v>41</v>
      </c>
      <c r="AC22" s="221" t="s">
        <v>135</v>
      </c>
    </row>
    <row r="23" spans="3:29" s="119" customFormat="1" ht="81.599999999999994" customHeight="1" thickBot="1">
      <c r="C23" s="357"/>
      <c r="D23" s="194" t="s">
        <v>136</v>
      </c>
      <c r="E23" s="195" t="s">
        <v>137</v>
      </c>
      <c r="F23" s="204" t="s">
        <v>31</v>
      </c>
      <c r="G23" s="204" t="s">
        <v>138</v>
      </c>
      <c r="H23" s="326" cm="1">
        <f t="array" ref="H23">_xlfn.IFS(N23&lt;5,4,0,N23&gt;4,N23&lt;=9,3,0,N23&gt;9,N23&lt;=15,2,0,N23&gt;15,1,1)</f>
        <v>1</v>
      </c>
      <c r="I23" s="195" t="s">
        <v>139</v>
      </c>
      <c r="J23" s="204" t="s">
        <v>34</v>
      </c>
      <c r="K23" s="217" t="s">
        <v>140</v>
      </c>
      <c r="L23" s="229">
        <v>4</v>
      </c>
      <c r="M23" s="278">
        <v>5</v>
      </c>
      <c r="N23" s="309">
        <f t="shared" si="1"/>
        <v>20</v>
      </c>
      <c r="O23" s="303" t="s">
        <v>55</v>
      </c>
      <c r="P23" s="221"/>
      <c r="Q23" s="234" t="s">
        <v>37</v>
      </c>
      <c r="R23" s="215" t="s">
        <v>141</v>
      </c>
      <c r="S23" s="229">
        <v>3</v>
      </c>
      <c r="T23" s="278">
        <v>4</v>
      </c>
      <c r="U23" s="287">
        <f t="shared" si="0"/>
        <v>12</v>
      </c>
      <c r="V23" s="221" t="s">
        <v>142</v>
      </c>
      <c r="W23" s="217" t="s">
        <v>40</v>
      </c>
      <c r="X23" s="293" t="s">
        <v>140</v>
      </c>
      <c r="Y23" s="206"/>
      <c r="Z23" s="206"/>
      <c r="AA23" s="217" t="s">
        <v>40</v>
      </c>
      <c r="AB23" s="293" t="s">
        <v>41</v>
      </c>
      <c r="AC23" s="221" t="s">
        <v>143</v>
      </c>
    </row>
    <row r="24" spans="3:29" s="119" customFormat="1" ht="51.6" thickBot="1">
      <c r="C24" s="358"/>
      <c r="D24" s="190" t="s">
        <v>144</v>
      </c>
      <c r="E24" s="191" t="s">
        <v>145</v>
      </c>
      <c r="F24" s="207" t="s">
        <v>31</v>
      </c>
      <c r="G24" s="207" t="s">
        <v>146</v>
      </c>
      <c r="H24" s="326" cm="1">
        <f t="array" ref="H24">_xlfn.IFS(N24&lt;5,4,0,N24&gt;4,N24&lt;=9,3,0,N24&gt;9,N24&lt;=15,2,0,N24&gt;15,1,1)</f>
        <v>2</v>
      </c>
      <c r="I24" s="191" t="s">
        <v>147</v>
      </c>
      <c r="J24" s="207" t="s">
        <v>34</v>
      </c>
      <c r="K24" s="218" t="s">
        <v>148</v>
      </c>
      <c r="L24" s="230">
        <v>3</v>
      </c>
      <c r="M24" s="280">
        <v>4</v>
      </c>
      <c r="N24" s="311">
        <f t="shared" si="1"/>
        <v>12</v>
      </c>
      <c r="O24" s="302" t="s">
        <v>36</v>
      </c>
      <c r="P24" s="219"/>
      <c r="Q24" s="233" t="s">
        <v>37</v>
      </c>
      <c r="R24" s="250" t="s">
        <v>149</v>
      </c>
      <c r="S24" s="230">
        <v>2</v>
      </c>
      <c r="T24" s="280">
        <v>3</v>
      </c>
      <c r="U24" s="288">
        <f t="shared" si="0"/>
        <v>6</v>
      </c>
      <c r="V24" s="219" t="s">
        <v>150</v>
      </c>
      <c r="W24" s="218" t="s">
        <v>67</v>
      </c>
      <c r="X24" s="218" t="s">
        <v>148</v>
      </c>
      <c r="Y24" s="203"/>
      <c r="Z24" s="203"/>
      <c r="AA24" s="218"/>
      <c r="AB24" s="295" t="s">
        <v>41</v>
      </c>
      <c r="AC24" s="248"/>
    </row>
    <row r="25" spans="3:29" s="119" customFormat="1" ht="86.1" customHeight="1" thickBot="1">
      <c r="C25" s="356" t="s">
        <v>151</v>
      </c>
      <c r="D25" s="188" t="s">
        <v>152</v>
      </c>
      <c r="E25" s="189" t="s">
        <v>153</v>
      </c>
      <c r="F25" s="201" t="s">
        <v>77</v>
      </c>
      <c r="G25" s="201" t="s">
        <v>154</v>
      </c>
      <c r="H25" s="326" cm="1">
        <f t="array" ref="H25">_xlfn.IFS(N25&lt;5,4,0,N25&gt;4,N25&lt;=9,3,0,N25&gt;9,N25&lt;=15,2,0,N25&gt;15,1,1)</f>
        <v>1</v>
      </c>
      <c r="I25" s="189" t="s">
        <v>514</v>
      </c>
      <c r="J25" s="201" t="s">
        <v>34</v>
      </c>
      <c r="K25" s="216" t="s">
        <v>155</v>
      </c>
      <c r="L25" s="229">
        <v>4</v>
      </c>
      <c r="M25" s="229">
        <v>4</v>
      </c>
      <c r="N25" s="312">
        <f t="shared" si="1"/>
        <v>16</v>
      </c>
      <c r="O25" s="301" t="s">
        <v>36</v>
      </c>
      <c r="P25" s="222"/>
      <c r="Q25" s="232" t="s">
        <v>37</v>
      </c>
      <c r="R25" s="251" t="s">
        <v>156</v>
      </c>
      <c r="S25" s="279">
        <v>3</v>
      </c>
      <c r="T25" s="227">
        <v>4</v>
      </c>
      <c r="U25" s="289">
        <f t="shared" si="0"/>
        <v>12</v>
      </c>
      <c r="V25" s="222" t="s">
        <v>157</v>
      </c>
      <c r="W25" s="216" t="s">
        <v>40</v>
      </c>
      <c r="X25" s="292" t="s">
        <v>155</v>
      </c>
      <c r="Y25" s="197"/>
      <c r="Z25" s="197"/>
      <c r="AA25" s="216" t="s">
        <v>40</v>
      </c>
      <c r="AB25" s="292" t="s">
        <v>41</v>
      </c>
      <c r="AC25" s="222" t="s">
        <v>158</v>
      </c>
    </row>
    <row r="26" spans="3:29" s="119" customFormat="1" ht="51.6" thickBot="1">
      <c r="C26" s="357"/>
      <c r="D26" s="194" t="s">
        <v>159</v>
      </c>
      <c r="E26" s="195"/>
      <c r="F26" s="204" t="s">
        <v>31</v>
      </c>
      <c r="G26" s="204" t="s">
        <v>160</v>
      </c>
      <c r="H26" s="326" cm="1">
        <f t="array" ref="H26">_xlfn.IFS(N26&lt;5,4,0,N26&gt;4,N26&lt;=9,3,0,N26&gt;9,N26&lt;=15,2,0,N26&gt;15,1,1)</f>
        <v>1</v>
      </c>
      <c r="I26" s="195" t="s">
        <v>161</v>
      </c>
      <c r="J26" s="204" t="s">
        <v>34</v>
      </c>
      <c r="K26" s="216" t="s">
        <v>155</v>
      </c>
      <c r="L26" s="229">
        <v>4</v>
      </c>
      <c r="M26" s="229">
        <v>4</v>
      </c>
      <c r="N26" s="309">
        <f t="shared" si="1"/>
        <v>16</v>
      </c>
      <c r="O26" s="303" t="s">
        <v>36</v>
      </c>
      <c r="P26" s="221"/>
      <c r="Q26" s="234" t="s">
        <v>37</v>
      </c>
      <c r="R26" s="251" t="s">
        <v>162</v>
      </c>
      <c r="S26" s="229">
        <v>3</v>
      </c>
      <c r="T26" s="278">
        <v>3</v>
      </c>
      <c r="U26" s="287">
        <f t="shared" si="0"/>
        <v>9</v>
      </c>
      <c r="V26" s="221" t="s">
        <v>163</v>
      </c>
      <c r="W26" s="217" t="s">
        <v>40</v>
      </c>
      <c r="X26" s="257" t="s">
        <v>155</v>
      </c>
      <c r="Y26" s="206"/>
      <c r="Z26" s="206"/>
      <c r="AA26" s="217" t="s">
        <v>40</v>
      </c>
      <c r="AB26" s="293" t="s">
        <v>41</v>
      </c>
      <c r="AC26" s="221" t="s">
        <v>164</v>
      </c>
    </row>
    <row r="27" spans="3:29" s="119" customFormat="1" ht="125.1" customHeight="1" thickBot="1">
      <c r="C27" s="357"/>
      <c r="D27" s="194" t="s">
        <v>165</v>
      </c>
      <c r="E27" s="195" t="s">
        <v>166</v>
      </c>
      <c r="F27" s="204" t="s">
        <v>77</v>
      </c>
      <c r="G27" s="204" t="s">
        <v>167</v>
      </c>
      <c r="H27" s="326" cm="1">
        <f t="array" ref="H27">_xlfn.IFS(N27&lt;5,4,0,N27&gt;4,N27&lt;=9,3,0,N27&gt;9,N27&lt;=15,2,0,N27&gt;15,1,1)</f>
        <v>1</v>
      </c>
      <c r="I27" s="195" t="s">
        <v>168</v>
      </c>
      <c r="J27" s="204" t="s">
        <v>34</v>
      </c>
      <c r="K27" s="216" t="s">
        <v>155</v>
      </c>
      <c r="L27" s="229">
        <v>4</v>
      </c>
      <c r="M27" s="229">
        <v>4</v>
      </c>
      <c r="N27" s="309">
        <f t="shared" si="1"/>
        <v>16</v>
      </c>
      <c r="O27" s="303" t="s">
        <v>55</v>
      </c>
      <c r="P27" s="221"/>
      <c r="Q27" s="234" t="s">
        <v>37</v>
      </c>
      <c r="R27" s="215" t="s">
        <v>169</v>
      </c>
      <c r="S27" s="229">
        <v>3</v>
      </c>
      <c r="T27" s="278">
        <v>4</v>
      </c>
      <c r="U27" s="287">
        <f t="shared" si="0"/>
        <v>12</v>
      </c>
      <c r="V27" s="221" t="s">
        <v>170</v>
      </c>
      <c r="W27" s="217" t="s">
        <v>134</v>
      </c>
      <c r="X27" s="257" t="s">
        <v>155</v>
      </c>
      <c r="Y27" s="206"/>
      <c r="Z27" s="206"/>
      <c r="AA27" s="217"/>
      <c r="AB27" s="293" t="s">
        <v>41</v>
      </c>
      <c r="AC27" s="221" t="s">
        <v>171</v>
      </c>
    </row>
    <row r="28" spans="3:29" s="119" customFormat="1" ht="82.2" thickBot="1">
      <c r="C28" s="357"/>
      <c r="D28" s="194" t="s">
        <v>172</v>
      </c>
      <c r="E28" s="195"/>
      <c r="F28" s="204" t="s">
        <v>31</v>
      </c>
      <c r="G28" s="204" t="s">
        <v>173</v>
      </c>
      <c r="H28" s="326" cm="1">
        <f t="array" ref="H28">_xlfn.IFS(N28&lt;5,4,0,N28&gt;4,N28&lt;=9,3,0,N28&gt;9,N28&lt;=15,2,0,N28&gt;15,1,1)</f>
        <v>1</v>
      </c>
      <c r="I28" s="195" t="s">
        <v>174</v>
      </c>
      <c r="J28" s="204" t="s">
        <v>34</v>
      </c>
      <c r="K28" s="217" t="s">
        <v>175</v>
      </c>
      <c r="L28" s="229">
        <v>4</v>
      </c>
      <c r="M28" s="229">
        <v>4</v>
      </c>
      <c r="N28" s="309">
        <f t="shared" si="1"/>
        <v>16</v>
      </c>
      <c r="O28" s="303" t="s">
        <v>36</v>
      </c>
      <c r="P28" s="221"/>
      <c r="Q28" s="234" t="s">
        <v>37</v>
      </c>
      <c r="R28" s="215" t="s">
        <v>176</v>
      </c>
      <c r="S28" s="229">
        <v>3</v>
      </c>
      <c r="T28" s="278">
        <v>3</v>
      </c>
      <c r="U28" s="287">
        <f t="shared" si="0"/>
        <v>9</v>
      </c>
      <c r="V28" s="221" t="s">
        <v>177</v>
      </c>
      <c r="W28" s="217" t="s">
        <v>40</v>
      </c>
      <c r="X28" s="217" t="s">
        <v>175</v>
      </c>
      <c r="Y28" s="206"/>
      <c r="Z28" s="206"/>
      <c r="AA28" s="217"/>
      <c r="AB28" s="293" t="s">
        <v>41</v>
      </c>
      <c r="AC28" s="221" t="s">
        <v>178</v>
      </c>
    </row>
    <row r="29" spans="3:29" s="119" customFormat="1" ht="72" thickBot="1">
      <c r="C29" s="357"/>
      <c r="D29" s="194" t="s">
        <v>179</v>
      </c>
      <c r="E29" s="195" t="s">
        <v>180</v>
      </c>
      <c r="F29" s="204" t="s">
        <v>31</v>
      </c>
      <c r="G29" s="204" t="s">
        <v>181</v>
      </c>
      <c r="H29" s="326" cm="1">
        <f t="array" ref="H29">_xlfn.IFS(N29&lt;5,4,0,N29&gt;4,N29&lt;=9,3,0,N29&gt;9,N29&lt;=15,2,0,N29&gt;15,1,1)</f>
        <v>1</v>
      </c>
      <c r="I29" s="195" t="s">
        <v>182</v>
      </c>
      <c r="J29" s="204" t="s">
        <v>34</v>
      </c>
      <c r="K29" s="217" t="s">
        <v>175</v>
      </c>
      <c r="L29" s="229">
        <v>4</v>
      </c>
      <c r="M29" s="229">
        <v>5</v>
      </c>
      <c r="N29" s="309">
        <f t="shared" si="1"/>
        <v>20</v>
      </c>
      <c r="O29" s="303" t="s">
        <v>55</v>
      </c>
      <c r="P29" s="221"/>
      <c r="Q29" s="234" t="s">
        <v>37</v>
      </c>
      <c r="R29" s="215" t="s">
        <v>183</v>
      </c>
      <c r="S29" s="229">
        <v>3</v>
      </c>
      <c r="T29" s="278">
        <v>4</v>
      </c>
      <c r="U29" s="287">
        <f t="shared" si="0"/>
        <v>12</v>
      </c>
      <c r="V29" s="221" t="s">
        <v>184</v>
      </c>
      <c r="W29" s="217" t="s">
        <v>40</v>
      </c>
      <c r="X29" s="217" t="s">
        <v>175</v>
      </c>
      <c r="Y29" s="206"/>
      <c r="Z29" s="206"/>
      <c r="AA29" s="217" t="s">
        <v>40</v>
      </c>
      <c r="AB29" s="293" t="s">
        <v>41</v>
      </c>
      <c r="AC29" s="221" t="s">
        <v>185</v>
      </c>
    </row>
    <row r="30" spans="3:29" s="119" customFormat="1" ht="98.4" customHeight="1" thickBot="1">
      <c r="C30" s="357"/>
      <c r="D30" s="194" t="s">
        <v>186</v>
      </c>
      <c r="E30" s="195" t="s">
        <v>187</v>
      </c>
      <c r="F30" s="204" t="s">
        <v>77</v>
      </c>
      <c r="G30" s="204" t="s">
        <v>188</v>
      </c>
      <c r="H30" s="326" cm="1">
        <f t="array" ref="H30">_xlfn.IFS(N30&lt;5,4,0,N30&gt;4,N30&lt;=9,3,0,N30&gt;9,N30&lt;=15,2,0,N30&gt;15,1,1)</f>
        <v>1</v>
      </c>
      <c r="I30" s="195" t="s">
        <v>515</v>
      </c>
      <c r="J30" s="204" t="s">
        <v>34</v>
      </c>
      <c r="K30" s="217" t="s">
        <v>189</v>
      </c>
      <c r="L30" s="229">
        <v>4</v>
      </c>
      <c r="M30" s="229">
        <v>4</v>
      </c>
      <c r="N30" s="309">
        <f t="shared" si="1"/>
        <v>16</v>
      </c>
      <c r="O30" s="303" t="s">
        <v>36</v>
      </c>
      <c r="P30" s="221"/>
      <c r="Q30" s="234" t="s">
        <v>37</v>
      </c>
      <c r="R30" s="215" t="s">
        <v>190</v>
      </c>
      <c r="S30" s="229">
        <v>3</v>
      </c>
      <c r="T30" s="278">
        <v>3</v>
      </c>
      <c r="U30" s="287">
        <f t="shared" si="0"/>
        <v>9</v>
      </c>
      <c r="V30" s="221" t="s">
        <v>191</v>
      </c>
      <c r="W30" s="217" t="s">
        <v>58</v>
      </c>
      <c r="X30" s="217" t="s">
        <v>189</v>
      </c>
      <c r="Y30" s="206"/>
      <c r="Z30" s="206"/>
      <c r="AA30" s="217" t="s">
        <v>58</v>
      </c>
      <c r="AB30" s="293" t="s">
        <v>41</v>
      </c>
      <c r="AC30" s="221" t="s">
        <v>192</v>
      </c>
    </row>
    <row r="31" spans="3:29" s="119" customFormat="1" ht="72" thickBot="1">
      <c r="C31" s="357"/>
      <c r="D31" s="194" t="s">
        <v>193</v>
      </c>
      <c r="E31" s="195" t="s">
        <v>194</v>
      </c>
      <c r="F31" s="204" t="s">
        <v>31</v>
      </c>
      <c r="G31" s="204" t="s">
        <v>195</v>
      </c>
      <c r="H31" s="326" cm="1">
        <f t="array" ref="H31">_xlfn.IFS(N31&lt;5,4,0,N31&gt;4,N31&lt;=9,3,0,N31&gt;9,N31&lt;=15,2,0,N31&gt;15,1,1)</f>
        <v>1</v>
      </c>
      <c r="I31" s="195" t="s">
        <v>196</v>
      </c>
      <c r="J31" s="204" t="s">
        <v>34</v>
      </c>
      <c r="K31" s="217" t="s">
        <v>189</v>
      </c>
      <c r="L31" s="229">
        <v>4</v>
      </c>
      <c r="M31" s="229">
        <v>4</v>
      </c>
      <c r="N31" s="309">
        <f t="shared" si="1"/>
        <v>16</v>
      </c>
      <c r="O31" s="303" t="s">
        <v>36</v>
      </c>
      <c r="P31" s="221"/>
      <c r="Q31" s="234" t="s">
        <v>37</v>
      </c>
      <c r="R31" s="215" t="s">
        <v>197</v>
      </c>
      <c r="S31" s="229">
        <v>3</v>
      </c>
      <c r="T31" s="278">
        <v>3</v>
      </c>
      <c r="U31" s="287">
        <f t="shared" si="0"/>
        <v>9</v>
      </c>
      <c r="V31" s="221" t="s">
        <v>198</v>
      </c>
      <c r="W31" s="217" t="s">
        <v>40</v>
      </c>
      <c r="X31" s="217" t="s">
        <v>189</v>
      </c>
      <c r="Y31" s="206"/>
      <c r="Z31" s="206"/>
      <c r="AA31" s="217" t="s">
        <v>40</v>
      </c>
      <c r="AB31" s="293" t="s">
        <v>41</v>
      </c>
      <c r="AC31" s="221" t="s">
        <v>199</v>
      </c>
    </row>
    <row r="32" spans="3:29" s="119" customFormat="1" ht="53.4" customHeight="1" thickBot="1">
      <c r="C32" s="357"/>
      <c r="D32" s="194" t="s">
        <v>200</v>
      </c>
      <c r="E32" s="195" t="s">
        <v>201</v>
      </c>
      <c r="F32" s="204" t="s">
        <v>77</v>
      </c>
      <c r="G32" s="204" t="s">
        <v>202</v>
      </c>
      <c r="H32" s="326" cm="1">
        <f t="array" ref="H32">_xlfn.IFS(N32&lt;5,4,0,N32&gt;4,N32&lt;=9,3,0,N32&gt;9,N32&lt;=15,2,0,N32&gt;15,1,1)</f>
        <v>2</v>
      </c>
      <c r="I32" s="195" t="s">
        <v>203</v>
      </c>
      <c r="J32" s="204" t="s">
        <v>34</v>
      </c>
      <c r="K32" s="217" t="s">
        <v>189</v>
      </c>
      <c r="L32" s="229">
        <v>3</v>
      </c>
      <c r="M32" s="229">
        <v>4</v>
      </c>
      <c r="N32" s="309">
        <f t="shared" si="1"/>
        <v>12</v>
      </c>
      <c r="O32" s="303" t="s">
        <v>36</v>
      </c>
      <c r="P32" s="221"/>
      <c r="Q32" s="234" t="s">
        <v>37</v>
      </c>
      <c r="R32" s="215" t="s">
        <v>525</v>
      </c>
      <c r="S32" s="229">
        <v>3</v>
      </c>
      <c r="T32" s="278">
        <v>3</v>
      </c>
      <c r="U32" s="287">
        <f t="shared" si="0"/>
        <v>9</v>
      </c>
      <c r="V32" s="252" t="s">
        <v>527</v>
      </c>
      <c r="W32" s="217" t="s">
        <v>67</v>
      </c>
      <c r="X32" s="217" t="s">
        <v>189</v>
      </c>
      <c r="Y32" s="206"/>
      <c r="Z32" s="206"/>
      <c r="AA32" s="217" t="s">
        <v>67</v>
      </c>
      <c r="AB32" s="293" t="s">
        <v>41</v>
      </c>
      <c r="AC32" s="221" t="s">
        <v>526</v>
      </c>
    </row>
    <row r="33" spans="3:29" s="119" customFormat="1" ht="61.8" thickBot="1">
      <c r="C33" s="357"/>
      <c r="D33" s="194" t="s">
        <v>204</v>
      </c>
      <c r="E33" s="195"/>
      <c r="F33" s="204" t="s">
        <v>31</v>
      </c>
      <c r="G33" s="204" t="s">
        <v>205</v>
      </c>
      <c r="H33" s="326" cm="1">
        <f t="array" ref="H33">_xlfn.IFS(N33&lt;5,4,0,N33&gt;4,N33&lt;=9,3,0,N33&gt;9,N33&lt;=15,2,0,N33&gt;15,1,1)</f>
        <v>2</v>
      </c>
      <c r="I33" s="195" t="s">
        <v>524</v>
      </c>
      <c r="J33" s="204" t="s">
        <v>34</v>
      </c>
      <c r="K33" s="217" t="s">
        <v>189</v>
      </c>
      <c r="L33" s="229">
        <v>3</v>
      </c>
      <c r="M33" s="229">
        <v>4</v>
      </c>
      <c r="N33" s="309">
        <f t="shared" si="1"/>
        <v>12</v>
      </c>
      <c r="O33" s="303" t="s">
        <v>55</v>
      </c>
      <c r="P33" s="221"/>
      <c r="Q33" s="234" t="s">
        <v>37</v>
      </c>
      <c r="R33" s="215" t="s">
        <v>529</v>
      </c>
      <c r="S33" s="229">
        <v>3</v>
      </c>
      <c r="T33" s="278">
        <v>3</v>
      </c>
      <c r="U33" s="287">
        <f t="shared" si="0"/>
        <v>9</v>
      </c>
      <c r="V33" s="221" t="s">
        <v>528</v>
      </c>
      <c r="W33" s="217" t="s">
        <v>40</v>
      </c>
      <c r="X33" s="206" t="s">
        <v>530</v>
      </c>
      <c r="Y33" s="206"/>
      <c r="Z33" s="206"/>
      <c r="AA33" s="217" t="s">
        <v>67</v>
      </c>
      <c r="AB33" s="293" t="s">
        <v>41</v>
      </c>
      <c r="AC33" s="221" t="s">
        <v>531</v>
      </c>
    </row>
    <row r="34" spans="3:29" s="119" customFormat="1" ht="92.4" thickBot="1">
      <c r="C34" s="357"/>
      <c r="D34" s="194" t="s">
        <v>206</v>
      </c>
      <c r="E34" s="195" t="s">
        <v>536</v>
      </c>
      <c r="F34" s="204" t="s">
        <v>31</v>
      </c>
      <c r="G34" s="204" t="s">
        <v>207</v>
      </c>
      <c r="H34" s="326" cm="1">
        <f t="array" ref="H34">_xlfn.IFS(N34&lt;5,4,0,N34&gt;4,N34&lt;=9,3,0,N34&gt;9,N34&lt;=15,2,0,N34&gt;15,1,1)</f>
        <v>3</v>
      </c>
      <c r="I34" s="195" t="s">
        <v>532</v>
      </c>
      <c r="J34" s="204" t="s">
        <v>34</v>
      </c>
      <c r="K34" s="217" t="s">
        <v>189</v>
      </c>
      <c r="L34" s="229">
        <v>2</v>
      </c>
      <c r="M34" s="229">
        <v>3</v>
      </c>
      <c r="N34" s="309">
        <f t="shared" si="1"/>
        <v>6</v>
      </c>
      <c r="O34" s="303" t="s">
        <v>36</v>
      </c>
      <c r="P34" s="221"/>
      <c r="Q34" s="234" t="s">
        <v>37</v>
      </c>
      <c r="R34" s="215" t="s">
        <v>533</v>
      </c>
      <c r="S34" s="229">
        <v>2</v>
      </c>
      <c r="T34" s="278">
        <v>2</v>
      </c>
      <c r="U34" s="287">
        <f t="shared" si="0"/>
        <v>4</v>
      </c>
      <c r="V34" s="221" t="s">
        <v>534</v>
      </c>
      <c r="W34" s="217" t="s">
        <v>134</v>
      </c>
      <c r="X34" s="206"/>
      <c r="Y34" s="206"/>
      <c r="Z34" s="206"/>
      <c r="AA34" s="217" t="s">
        <v>95</v>
      </c>
      <c r="AB34" s="293" t="s">
        <v>41</v>
      </c>
      <c r="AC34" s="221" t="s">
        <v>535</v>
      </c>
    </row>
    <row r="35" spans="3:29" s="119" customFormat="1" ht="75" customHeight="1" thickBot="1">
      <c r="C35" s="357"/>
      <c r="D35" s="194" t="s">
        <v>208</v>
      </c>
      <c r="E35" s="195"/>
      <c r="F35" s="204" t="s">
        <v>77</v>
      </c>
      <c r="G35" s="204" t="s">
        <v>209</v>
      </c>
      <c r="H35" s="326" cm="1">
        <f t="array" ref="H35">_xlfn.IFS(N35&lt;5,4,0,N35&gt;4,N35&lt;=9,3,0,N35&gt;9,N35&lt;=15,2,0,N35&gt;15,1,1)</f>
        <v>1</v>
      </c>
      <c r="I35" s="195" t="s">
        <v>537</v>
      </c>
      <c r="J35" s="204" t="s">
        <v>34</v>
      </c>
      <c r="K35" s="217" t="s">
        <v>538</v>
      </c>
      <c r="L35" s="229">
        <v>4</v>
      </c>
      <c r="M35" s="229">
        <v>4</v>
      </c>
      <c r="N35" s="309">
        <f t="shared" si="1"/>
        <v>16</v>
      </c>
      <c r="O35" s="303" t="s">
        <v>36</v>
      </c>
      <c r="P35" s="221"/>
      <c r="Q35" s="234" t="s">
        <v>37</v>
      </c>
      <c r="R35" s="215" t="s">
        <v>539</v>
      </c>
      <c r="S35" s="229">
        <v>3</v>
      </c>
      <c r="T35" s="278">
        <v>3</v>
      </c>
      <c r="U35" s="287">
        <f t="shared" si="0"/>
        <v>9</v>
      </c>
      <c r="V35" s="221" t="s">
        <v>540</v>
      </c>
      <c r="W35" s="217" t="s">
        <v>134</v>
      </c>
      <c r="X35" s="217" t="s">
        <v>538</v>
      </c>
      <c r="Y35" s="206"/>
      <c r="Z35" s="206"/>
      <c r="AA35" s="217" t="s">
        <v>95</v>
      </c>
      <c r="AB35" s="293" t="s">
        <v>41</v>
      </c>
      <c r="AC35" s="221" t="s">
        <v>541</v>
      </c>
    </row>
    <row r="36" spans="3:29" s="119" customFormat="1" ht="72" thickBot="1">
      <c r="C36" s="357"/>
      <c r="D36" s="194" t="s">
        <v>210</v>
      </c>
      <c r="E36" s="195"/>
      <c r="F36" s="317" t="s">
        <v>77</v>
      </c>
      <c r="G36" s="204" t="s">
        <v>211</v>
      </c>
      <c r="H36" s="326" cm="1">
        <f t="array" ref="H36">_xlfn.IFS(N36&lt;5,4,0,N36&gt;4,N36&lt;=9,3,0,N36&gt;9,N36&lt;=15,2,0,N36&gt;15,1,1)</f>
        <v>2</v>
      </c>
      <c r="I36" s="195" t="s">
        <v>542</v>
      </c>
      <c r="J36" s="204" t="s">
        <v>34</v>
      </c>
      <c r="K36" s="217" t="s">
        <v>543</v>
      </c>
      <c r="L36" s="229">
        <v>3</v>
      </c>
      <c r="M36" s="229">
        <v>4</v>
      </c>
      <c r="N36" s="309">
        <f t="shared" si="1"/>
        <v>12</v>
      </c>
      <c r="O36" s="303" t="s">
        <v>36</v>
      </c>
      <c r="P36" s="221"/>
      <c r="Q36" s="234" t="s">
        <v>37</v>
      </c>
      <c r="R36" s="215" t="s">
        <v>545</v>
      </c>
      <c r="S36" s="229">
        <v>2</v>
      </c>
      <c r="T36" s="278">
        <v>3</v>
      </c>
      <c r="U36" s="287">
        <f t="shared" si="0"/>
        <v>6</v>
      </c>
      <c r="V36" s="221" t="s">
        <v>544</v>
      </c>
      <c r="W36" s="217" t="s">
        <v>40</v>
      </c>
      <c r="X36" s="217" t="s">
        <v>546</v>
      </c>
      <c r="Y36" s="206"/>
      <c r="Z36" s="206"/>
      <c r="AA36" s="217" t="s">
        <v>40</v>
      </c>
      <c r="AB36" s="293" t="s">
        <v>41</v>
      </c>
      <c r="AC36" s="252"/>
    </row>
    <row r="37" spans="3:29" s="119" customFormat="1" ht="51.6" thickBot="1">
      <c r="C37" s="359"/>
      <c r="D37" s="198" t="s">
        <v>516</v>
      </c>
      <c r="E37" s="212" t="s">
        <v>547</v>
      </c>
      <c r="F37" s="207" t="s">
        <v>31</v>
      </c>
      <c r="G37" s="204" t="s">
        <v>213</v>
      </c>
      <c r="H37" s="326" cm="1">
        <f t="array" ref="H37">_xlfn.IFS(N37&lt;5,4,0,N37&gt;4,N37&lt;=9,3,0,N37&gt;9,N37&lt;=15,2,0,N37&gt;15,1,1)</f>
        <v>3</v>
      </c>
      <c r="I37" s="195" t="s">
        <v>548</v>
      </c>
      <c r="J37" s="204" t="s">
        <v>34</v>
      </c>
      <c r="K37" s="217" t="s">
        <v>543</v>
      </c>
      <c r="L37" s="229">
        <v>3</v>
      </c>
      <c r="M37" s="229">
        <v>3</v>
      </c>
      <c r="N37" s="309">
        <f>L37*M37</f>
        <v>9</v>
      </c>
      <c r="O37" s="303" t="s">
        <v>36</v>
      </c>
      <c r="P37" s="226"/>
      <c r="Q37" s="234" t="s">
        <v>37</v>
      </c>
      <c r="R37" s="253" t="s">
        <v>550</v>
      </c>
      <c r="S37" s="229">
        <v>2</v>
      </c>
      <c r="T37" s="278">
        <v>3</v>
      </c>
      <c r="U37" s="287">
        <f t="shared" ref="U37:U40" si="2">S37*T37</f>
        <v>6</v>
      </c>
      <c r="V37" s="253" t="s">
        <v>549</v>
      </c>
      <c r="W37" s="259" t="s">
        <v>40</v>
      </c>
      <c r="X37" s="217" t="s">
        <v>546</v>
      </c>
      <c r="Y37" s="300"/>
      <c r="Z37" s="300"/>
      <c r="AA37" s="259" t="s">
        <v>40</v>
      </c>
      <c r="AB37" s="298" t="s">
        <v>41</v>
      </c>
      <c r="AC37" s="299"/>
    </row>
    <row r="38" spans="3:29" s="119" customFormat="1" ht="61.8" thickBot="1">
      <c r="C38" s="359"/>
      <c r="D38" s="198" t="s">
        <v>518</v>
      </c>
      <c r="E38" s="212"/>
      <c r="F38" s="207" t="s">
        <v>31</v>
      </c>
      <c r="G38" s="204" t="s">
        <v>214</v>
      </c>
      <c r="H38" s="326" cm="1">
        <f t="array" ref="H38">_xlfn.IFS(N38&lt;5,4,0,N38&gt;4,N38&lt;=9,3,0,N38&gt;9,N38&lt;=15,2,0,N38&gt;15,1,1)</f>
        <v>3</v>
      </c>
      <c r="I38" s="212" t="s">
        <v>554</v>
      </c>
      <c r="J38" s="204" t="s">
        <v>34</v>
      </c>
      <c r="K38" s="217" t="s">
        <v>553</v>
      </c>
      <c r="L38" s="229">
        <v>3</v>
      </c>
      <c r="M38" s="229">
        <v>3</v>
      </c>
      <c r="N38" s="309">
        <f>L38*M38</f>
        <v>9</v>
      </c>
      <c r="O38" s="303" t="s">
        <v>551</v>
      </c>
      <c r="P38" s="226"/>
      <c r="Q38" s="234" t="s">
        <v>37</v>
      </c>
      <c r="R38" s="253" t="s">
        <v>552</v>
      </c>
      <c r="S38" s="229">
        <v>2</v>
      </c>
      <c r="T38" s="278">
        <v>3</v>
      </c>
      <c r="U38" s="287">
        <f t="shared" si="2"/>
        <v>6</v>
      </c>
      <c r="V38" s="226" t="s">
        <v>555</v>
      </c>
      <c r="W38" s="259" t="s">
        <v>58</v>
      </c>
      <c r="X38" s="300" t="s">
        <v>553</v>
      </c>
      <c r="Y38" s="300"/>
      <c r="Z38" s="300"/>
      <c r="AA38" s="259" t="s">
        <v>95</v>
      </c>
      <c r="AB38" s="298" t="s">
        <v>41</v>
      </c>
      <c r="AC38" s="299"/>
    </row>
    <row r="39" spans="3:29" s="119" customFormat="1" ht="63" customHeight="1" thickBot="1">
      <c r="C39" s="359"/>
      <c r="D39" s="198" t="s">
        <v>556</v>
      </c>
      <c r="E39" s="212"/>
      <c r="F39" s="207" t="s">
        <v>31</v>
      </c>
      <c r="G39" s="204" t="s">
        <v>216</v>
      </c>
      <c r="H39" s="326" cm="1">
        <f t="array" ref="H39">_xlfn.IFS(N39&lt;5,4,0,N39&gt;4,N39&lt;=9,3,0,N39&gt;9,N39&lt;=15,2,0,N39&gt;15,1,1)</f>
        <v>2</v>
      </c>
      <c r="I39" s="195" t="s">
        <v>524</v>
      </c>
      <c r="J39" s="204" t="s">
        <v>34</v>
      </c>
      <c r="K39" s="259" t="s">
        <v>557</v>
      </c>
      <c r="L39" s="229">
        <v>3</v>
      </c>
      <c r="M39" s="229">
        <v>4</v>
      </c>
      <c r="N39" s="309">
        <f>L39*M39</f>
        <v>12</v>
      </c>
      <c r="O39" s="303" t="s">
        <v>55</v>
      </c>
      <c r="P39" s="226"/>
      <c r="Q39" s="234" t="s">
        <v>37</v>
      </c>
      <c r="R39" s="195" t="s">
        <v>558</v>
      </c>
      <c r="S39" s="229">
        <v>3</v>
      </c>
      <c r="T39" s="278">
        <v>3</v>
      </c>
      <c r="U39" s="287">
        <f t="shared" si="2"/>
        <v>9</v>
      </c>
      <c r="V39" s="226" t="s">
        <v>559</v>
      </c>
      <c r="W39" s="259" t="s">
        <v>58</v>
      </c>
      <c r="X39" s="259" t="s">
        <v>557</v>
      </c>
      <c r="Y39" s="300"/>
      <c r="Z39" s="300"/>
      <c r="AA39" s="259" t="s">
        <v>95</v>
      </c>
      <c r="AB39" s="298" t="s">
        <v>41</v>
      </c>
      <c r="AC39" s="299"/>
    </row>
    <row r="40" spans="3:29" s="119" customFormat="1" ht="41.4" thickBot="1">
      <c r="C40" s="358"/>
      <c r="D40" s="190" t="s">
        <v>215</v>
      </c>
      <c r="E40" s="191"/>
      <c r="F40" s="208" t="s">
        <v>31</v>
      </c>
      <c r="G40" s="208" t="s">
        <v>219</v>
      </c>
      <c r="H40" s="326" cm="1">
        <f t="array" ref="H40">_xlfn.IFS(N40&lt;5,4,0,N40&gt;4,N40&lt;=9,3,0,N40&gt;9,N40&lt;=15,2,0,N40&gt;15,1,1)</f>
        <v>2</v>
      </c>
      <c r="I40" s="191" t="s">
        <v>560</v>
      </c>
      <c r="J40" s="204" t="s">
        <v>34</v>
      </c>
      <c r="K40" s="218" t="s">
        <v>557</v>
      </c>
      <c r="L40" s="230">
        <v>3</v>
      </c>
      <c r="M40" s="230">
        <v>4</v>
      </c>
      <c r="N40" s="311">
        <f t="shared" si="1"/>
        <v>12</v>
      </c>
      <c r="O40" s="318" t="s">
        <v>55</v>
      </c>
      <c r="P40" s="219"/>
      <c r="Q40" s="318" t="s">
        <v>37</v>
      </c>
      <c r="R40" s="319" t="s">
        <v>561</v>
      </c>
      <c r="S40" s="229">
        <v>2</v>
      </c>
      <c r="T40" s="278">
        <v>4</v>
      </c>
      <c r="U40" s="287">
        <f t="shared" si="2"/>
        <v>8</v>
      </c>
      <c r="V40" s="219" t="s">
        <v>562</v>
      </c>
      <c r="W40" s="218" t="s">
        <v>134</v>
      </c>
      <c r="X40" s="218" t="s">
        <v>557</v>
      </c>
      <c r="Y40" s="203"/>
      <c r="Z40" s="203"/>
      <c r="AA40" s="218" t="s">
        <v>95</v>
      </c>
      <c r="AB40" s="295" t="s">
        <v>41</v>
      </c>
      <c r="AC40" s="248"/>
    </row>
    <row r="41" spans="3:29" s="119" customFormat="1" ht="41.4" thickBot="1">
      <c r="C41" s="356" t="s">
        <v>217</v>
      </c>
      <c r="D41" s="188" t="s">
        <v>218</v>
      </c>
      <c r="E41" s="189"/>
      <c r="F41" s="201" t="s">
        <v>77</v>
      </c>
      <c r="G41" s="201" t="s">
        <v>221</v>
      </c>
      <c r="H41" s="326" cm="1">
        <f t="array" ref="H41">_xlfn.IFS(N41&lt;5,4,0,N41&gt;4,N41&lt;=9,3,0,N41&gt;9,N41&lt;=15,2,0,N41&gt;15,1,1)</f>
        <v>2</v>
      </c>
      <c r="I41" s="189" t="s">
        <v>564</v>
      </c>
      <c r="J41" s="201" t="s">
        <v>34</v>
      </c>
      <c r="K41" s="216" t="s">
        <v>563</v>
      </c>
      <c r="L41" s="279">
        <v>3</v>
      </c>
      <c r="M41" s="279">
        <v>4</v>
      </c>
      <c r="N41" s="312">
        <f t="shared" si="1"/>
        <v>12</v>
      </c>
      <c r="O41" s="303" t="s">
        <v>36</v>
      </c>
      <c r="P41" s="222"/>
      <c r="Q41" s="234" t="s">
        <v>37</v>
      </c>
      <c r="R41" s="249" t="s">
        <v>566</v>
      </c>
      <c r="S41" s="199">
        <v>2</v>
      </c>
      <c r="T41" s="200">
        <v>3</v>
      </c>
      <c r="U41" s="281">
        <f t="shared" si="0"/>
        <v>6</v>
      </c>
      <c r="V41" s="189" t="s">
        <v>565</v>
      </c>
      <c r="W41" s="216" t="s">
        <v>40</v>
      </c>
      <c r="X41" s="216" t="s">
        <v>563</v>
      </c>
      <c r="Y41" s="197"/>
      <c r="Z41" s="197"/>
      <c r="AA41" s="216" t="s">
        <v>95</v>
      </c>
      <c r="AB41" s="292" t="s">
        <v>41</v>
      </c>
      <c r="AC41" s="222" t="s">
        <v>567</v>
      </c>
    </row>
    <row r="42" spans="3:29" s="119" customFormat="1" ht="102" customHeight="1" thickBot="1">
      <c r="C42" s="357"/>
      <c r="D42" s="194" t="s">
        <v>220</v>
      </c>
      <c r="E42" s="195"/>
      <c r="F42" s="204" t="s">
        <v>77</v>
      </c>
      <c r="G42" s="204" t="s">
        <v>223</v>
      </c>
      <c r="H42" s="326" cm="1">
        <f t="array" ref="H42">_xlfn.IFS(N42&lt;5,4,0,N42&gt;4,N42&lt;=9,3,0,N42&gt;9,N42&lt;=15,2,0,N42&gt;15,1,1)</f>
        <v>1</v>
      </c>
      <c r="I42" s="195" t="s">
        <v>569</v>
      </c>
      <c r="J42" s="204" t="s">
        <v>34</v>
      </c>
      <c r="K42" s="217" t="s">
        <v>568</v>
      </c>
      <c r="L42" s="229">
        <v>4</v>
      </c>
      <c r="M42" s="229">
        <v>4</v>
      </c>
      <c r="N42" s="309">
        <f t="shared" si="1"/>
        <v>16</v>
      </c>
      <c r="O42" s="303" t="s">
        <v>36</v>
      </c>
      <c r="P42" s="221"/>
      <c r="Q42" s="234" t="s">
        <v>37</v>
      </c>
      <c r="R42" s="215" t="s">
        <v>570</v>
      </c>
      <c r="S42" s="229">
        <v>3</v>
      </c>
      <c r="T42" s="278">
        <v>4</v>
      </c>
      <c r="U42" s="287">
        <f t="shared" si="0"/>
        <v>12</v>
      </c>
      <c r="V42" s="221" t="s">
        <v>581</v>
      </c>
      <c r="W42" s="217" t="s">
        <v>40</v>
      </c>
      <c r="X42" s="195" t="s">
        <v>571</v>
      </c>
      <c r="Y42" s="206"/>
      <c r="Z42" s="206"/>
      <c r="AA42" s="217" t="s">
        <v>95</v>
      </c>
      <c r="AB42" s="293" t="s">
        <v>41</v>
      </c>
      <c r="AC42" s="221" t="s">
        <v>572</v>
      </c>
    </row>
    <row r="43" spans="3:29" s="119" customFormat="1" ht="93.6" customHeight="1" thickBot="1">
      <c r="C43" s="357"/>
      <c r="D43" s="194" t="s">
        <v>222</v>
      </c>
      <c r="E43" s="195"/>
      <c r="F43" s="204" t="s">
        <v>77</v>
      </c>
      <c r="G43" s="204" t="s">
        <v>225</v>
      </c>
      <c r="H43" s="326" cm="1">
        <f t="array" ref="H43">_xlfn.IFS(N43&lt;5,4,0,N43&gt;4,N43&lt;=9,3,0,N43&gt;9,N43&lt;=15,2,0,N43&gt;15,1,1)</f>
        <v>3</v>
      </c>
      <c r="I43" s="195" t="s">
        <v>573</v>
      </c>
      <c r="J43" s="204" t="s">
        <v>34</v>
      </c>
      <c r="K43" s="216" t="s">
        <v>574</v>
      </c>
      <c r="L43" s="229">
        <v>3</v>
      </c>
      <c r="M43" s="229">
        <v>3</v>
      </c>
      <c r="N43" s="309">
        <f t="shared" si="1"/>
        <v>9</v>
      </c>
      <c r="O43" s="303" t="s">
        <v>36</v>
      </c>
      <c r="P43" s="221"/>
      <c r="Q43" s="234" t="s">
        <v>37</v>
      </c>
      <c r="R43" s="215" t="s">
        <v>575</v>
      </c>
      <c r="S43" s="229">
        <v>2</v>
      </c>
      <c r="T43" s="278">
        <v>2</v>
      </c>
      <c r="U43" s="287">
        <f t="shared" si="0"/>
        <v>4</v>
      </c>
      <c r="V43" s="221" t="s">
        <v>576</v>
      </c>
      <c r="W43" s="217" t="s">
        <v>40</v>
      </c>
      <c r="X43" s="216" t="s">
        <v>574</v>
      </c>
      <c r="Y43" s="206"/>
      <c r="Z43" s="206"/>
      <c r="AA43" s="217" t="s">
        <v>67</v>
      </c>
      <c r="AB43" s="293" t="s">
        <v>41</v>
      </c>
      <c r="AC43" s="221" t="s">
        <v>577</v>
      </c>
    </row>
    <row r="44" spans="3:29" s="119" customFormat="1" ht="61.8" thickBot="1">
      <c r="C44" s="357"/>
      <c r="D44" s="194" t="s">
        <v>224</v>
      </c>
      <c r="E44" s="195"/>
      <c r="F44" s="204" t="s">
        <v>31</v>
      </c>
      <c r="G44" s="204" t="s">
        <v>228</v>
      </c>
      <c r="H44" s="326" cm="1">
        <f t="array" ref="H44">_xlfn.IFS(N44&lt;5,4,0,N44&gt;4,N44&lt;=9,3,0,N44&gt;9,N44&lt;=15,2,0,N44&gt;15,1,1)</f>
        <v>3</v>
      </c>
      <c r="I44" s="195" t="s">
        <v>579</v>
      </c>
      <c r="J44" s="204" t="s">
        <v>34</v>
      </c>
      <c r="K44" s="217" t="s">
        <v>578</v>
      </c>
      <c r="L44" s="229">
        <v>3</v>
      </c>
      <c r="M44" s="229">
        <v>3</v>
      </c>
      <c r="N44" s="309">
        <f t="shared" si="1"/>
        <v>9</v>
      </c>
      <c r="O44" s="303" t="s">
        <v>36</v>
      </c>
      <c r="P44" s="221"/>
      <c r="Q44" s="234" t="s">
        <v>37</v>
      </c>
      <c r="R44" s="215" t="s">
        <v>580</v>
      </c>
      <c r="S44" s="229">
        <v>3</v>
      </c>
      <c r="T44" s="278">
        <v>3</v>
      </c>
      <c r="U44" s="287">
        <f t="shared" si="0"/>
        <v>9</v>
      </c>
      <c r="V44" s="221" t="s">
        <v>583</v>
      </c>
      <c r="W44" s="217" t="s">
        <v>40</v>
      </c>
      <c r="X44" s="217" t="s">
        <v>578</v>
      </c>
      <c r="Y44" s="206"/>
      <c r="Z44" s="206"/>
      <c r="AA44" s="217" t="s">
        <v>95</v>
      </c>
      <c r="AB44" s="293" t="s">
        <v>41</v>
      </c>
      <c r="AC44" s="221" t="s">
        <v>582</v>
      </c>
    </row>
    <row r="45" spans="3:29" s="119" customFormat="1" ht="87.6" customHeight="1" thickBot="1">
      <c r="C45" s="357"/>
      <c r="D45" s="194" t="s">
        <v>226</v>
      </c>
      <c r="E45" s="195" t="s">
        <v>227</v>
      </c>
      <c r="F45" s="204" t="s">
        <v>31</v>
      </c>
      <c r="G45" s="204" t="s">
        <v>230</v>
      </c>
      <c r="H45" s="326" cm="1">
        <f t="array" ref="H45">_xlfn.IFS(N45&lt;5,4,0,N45&gt;4,N45&lt;=9,3,0,N45&gt;9,N45&lt;=15,2,0,N45&gt;15,1,1)</f>
        <v>2</v>
      </c>
      <c r="I45" s="212" t="s">
        <v>554</v>
      </c>
      <c r="J45" s="204" t="s">
        <v>34</v>
      </c>
      <c r="K45" s="217" t="s">
        <v>574</v>
      </c>
      <c r="L45" s="229">
        <v>3</v>
      </c>
      <c r="M45" s="229">
        <v>4</v>
      </c>
      <c r="N45" s="309">
        <f t="shared" si="1"/>
        <v>12</v>
      </c>
      <c r="O45" s="303" t="s">
        <v>36</v>
      </c>
      <c r="P45" s="221"/>
      <c r="Q45" s="234" t="s">
        <v>37</v>
      </c>
      <c r="R45" s="215" t="s">
        <v>584</v>
      </c>
      <c r="S45" s="229">
        <v>3</v>
      </c>
      <c r="T45" s="278">
        <v>3</v>
      </c>
      <c r="U45" s="287">
        <f t="shared" si="0"/>
        <v>9</v>
      </c>
      <c r="V45" s="221" t="s">
        <v>585</v>
      </c>
      <c r="W45" s="217" t="s">
        <v>40</v>
      </c>
      <c r="X45" s="217" t="s">
        <v>574</v>
      </c>
      <c r="Y45" s="206"/>
      <c r="Z45" s="206"/>
      <c r="AA45" s="217" t="s">
        <v>95</v>
      </c>
      <c r="AB45" s="293" t="s">
        <v>41</v>
      </c>
      <c r="AC45" s="252"/>
    </row>
    <row r="46" spans="3:29" s="119" customFormat="1" ht="98.4" customHeight="1" thickBot="1">
      <c r="C46" s="358"/>
      <c r="D46" s="190" t="s">
        <v>229</v>
      </c>
      <c r="E46" s="191"/>
      <c r="F46" s="208" t="s">
        <v>31</v>
      </c>
      <c r="G46" s="208" t="s">
        <v>234</v>
      </c>
      <c r="H46" s="326" cm="1">
        <f t="array" ref="H46">_xlfn.IFS(N46&lt;5,4,0,N46&gt;4,N46&lt;=9,3,0,N46&gt;9,N46&lt;=15,2,0,N46&gt;15,1,1)</f>
        <v>3</v>
      </c>
      <c r="I46" s="191" t="s">
        <v>587</v>
      </c>
      <c r="J46" s="208" t="s">
        <v>34</v>
      </c>
      <c r="K46" s="218" t="s">
        <v>563</v>
      </c>
      <c r="L46" s="229">
        <v>3</v>
      </c>
      <c r="M46" s="229">
        <v>3</v>
      </c>
      <c r="N46" s="311">
        <f t="shared" si="1"/>
        <v>9</v>
      </c>
      <c r="O46" s="302" t="s">
        <v>55</v>
      </c>
      <c r="P46" s="219"/>
      <c r="Q46" s="233" t="s">
        <v>37</v>
      </c>
      <c r="R46" s="250" t="s">
        <v>589</v>
      </c>
      <c r="S46" s="230">
        <v>2</v>
      </c>
      <c r="T46" s="280">
        <v>3</v>
      </c>
      <c r="U46" s="288">
        <f t="shared" si="0"/>
        <v>6</v>
      </c>
      <c r="V46" s="219" t="s">
        <v>586</v>
      </c>
      <c r="W46" s="218" t="s">
        <v>95</v>
      </c>
      <c r="X46" s="217" t="s">
        <v>578</v>
      </c>
      <c r="Y46" s="203"/>
      <c r="Z46" s="203"/>
      <c r="AA46" s="218" t="s">
        <v>67</v>
      </c>
      <c r="AB46" s="295" t="s">
        <v>41</v>
      </c>
      <c r="AC46" s="219" t="s">
        <v>588</v>
      </c>
    </row>
    <row r="47" spans="3:29" s="119" customFormat="1" ht="51.6" thickBot="1">
      <c r="C47" s="356" t="s">
        <v>231</v>
      </c>
      <c r="D47" s="188" t="s">
        <v>232</v>
      </c>
      <c r="E47" s="189" t="s">
        <v>233</v>
      </c>
      <c r="F47" s="201" t="s">
        <v>31</v>
      </c>
      <c r="G47" s="201" t="s">
        <v>236</v>
      </c>
      <c r="H47" s="326" cm="1">
        <f t="array" ref="H47">_xlfn.IFS(N47&lt;5,4,0,N47&gt;4,N47&lt;=9,3,0,N47&gt;9,N47&lt;=15,2,0,N47&gt;15,1,1)</f>
        <v>2</v>
      </c>
      <c r="I47" s="189" t="s">
        <v>590</v>
      </c>
      <c r="J47" s="201" t="s">
        <v>34</v>
      </c>
      <c r="K47" s="216" t="s">
        <v>591</v>
      </c>
      <c r="L47" s="229">
        <v>3</v>
      </c>
      <c r="M47" s="229">
        <v>5</v>
      </c>
      <c r="N47" s="306">
        <f t="shared" si="1"/>
        <v>15</v>
      </c>
      <c r="O47" s="301" t="s">
        <v>36</v>
      </c>
      <c r="P47" s="222"/>
      <c r="Q47" s="232" t="s">
        <v>37</v>
      </c>
      <c r="R47" s="251" t="s">
        <v>592</v>
      </c>
      <c r="S47" s="199">
        <v>2</v>
      </c>
      <c r="T47" s="200">
        <v>4</v>
      </c>
      <c r="U47" s="281">
        <f t="shared" si="0"/>
        <v>8</v>
      </c>
      <c r="V47" s="221" t="s">
        <v>593</v>
      </c>
      <c r="W47" s="216" t="s">
        <v>134</v>
      </c>
      <c r="X47" s="216" t="s">
        <v>591</v>
      </c>
      <c r="Y47" s="197"/>
      <c r="Z47" s="197"/>
      <c r="AA47" s="216" t="s">
        <v>95</v>
      </c>
      <c r="AB47" s="292" t="s">
        <v>41</v>
      </c>
      <c r="AC47" s="225"/>
    </row>
    <row r="48" spans="3:29" s="119" customFormat="1" ht="51.6" thickBot="1">
      <c r="C48" s="357"/>
      <c r="D48" s="194" t="s">
        <v>662</v>
      </c>
      <c r="E48" s="195" t="s">
        <v>235</v>
      </c>
      <c r="F48" s="204" t="s">
        <v>77</v>
      </c>
      <c r="G48" s="204" t="s">
        <v>238</v>
      </c>
      <c r="H48" s="326" cm="1">
        <f t="array" ref="H48">_xlfn.IFS(N48&lt;5,4,0,N48&gt;4,N48&lt;=9,3,0,N48&gt;9,N48&lt;=15,2,0,N48&gt;15,1,1)</f>
        <v>2</v>
      </c>
      <c r="I48" s="195" t="s">
        <v>594</v>
      </c>
      <c r="J48" s="204" t="s">
        <v>34</v>
      </c>
      <c r="K48" s="217" t="s">
        <v>596</v>
      </c>
      <c r="L48" s="229">
        <v>3</v>
      </c>
      <c r="M48" s="229">
        <v>4</v>
      </c>
      <c r="N48" s="309">
        <f t="shared" si="1"/>
        <v>12</v>
      </c>
      <c r="O48" s="303" t="s">
        <v>36</v>
      </c>
      <c r="P48" s="221"/>
      <c r="Q48" s="234" t="s">
        <v>37</v>
      </c>
      <c r="R48" s="215" t="s">
        <v>597</v>
      </c>
      <c r="S48" s="229">
        <v>2</v>
      </c>
      <c r="T48" s="278">
        <v>3</v>
      </c>
      <c r="U48" s="287">
        <f t="shared" si="0"/>
        <v>6</v>
      </c>
      <c r="V48" s="221" t="s">
        <v>598</v>
      </c>
      <c r="W48" s="217" t="s">
        <v>40</v>
      </c>
      <c r="X48" s="217" t="s">
        <v>595</v>
      </c>
      <c r="Y48" s="206"/>
      <c r="Z48" s="206"/>
      <c r="AA48" s="217" t="s">
        <v>95</v>
      </c>
      <c r="AB48" s="293" t="s">
        <v>41</v>
      </c>
      <c r="AC48" s="252"/>
    </row>
    <row r="49" spans="3:29" s="119" customFormat="1" ht="93" customHeight="1" thickBot="1">
      <c r="C49" s="357"/>
      <c r="D49" s="196" t="s">
        <v>237</v>
      </c>
      <c r="E49" s="195"/>
      <c r="F49" s="204" t="s">
        <v>77</v>
      </c>
      <c r="G49" s="204" t="s">
        <v>241</v>
      </c>
      <c r="H49" s="326" cm="1">
        <f t="array" ref="H49">_xlfn.IFS(N49&lt;5,4,0,N49&gt;4,N49&lt;=9,3,0,N49&gt;9,N49&lt;=15,2,0,N49&gt;15,1,1)</f>
        <v>2</v>
      </c>
      <c r="I49" s="195" t="s">
        <v>599</v>
      </c>
      <c r="J49" s="204" t="s">
        <v>34</v>
      </c>
      <c r="K49" s="217" t="s">
        <v>596</v>
      </c>
      <c r="L49" s="229">
        <v>3</v>
      </c>
      <c r="M49" s="229">
        <v>4</v>
      </c>
      <c r="N49" s="309">
        <f t="shared" si="1"/>
        <v>12</v>
      </c>
      <c r="O49" s="303" t="s">
        <v>36</v>
      </c>
      <c r="P49" s="221"/>
      <c r="Q49" s="234" t="s">
        <v>37</v>
      </c>
      <c r="R49" s="215" t="s">
        <v>600</v>
      </c>
      <c r="S49" s="229">
        <v>3</v>
      </c>
      <c r="T49" s="278">
        <v>3</v>
      </c>
      <c r="U49" s="287">
        <f t="shared" si="0"/>
        <v>9</v>
      </c>
      <c r="V49" s="221" t="s">
        <v>601</v>
      </c>
      <c r="W49" s="217" t="s">
        <v>58</v>
      </c>
      <c r="X49" s="217" t="s">
        <v>595</v>
      </c>
      <c r="Y49" s="206"/>
      <c r="Z49" s="206"/>
      <c r="AA49" s="217" t="s">
        <v>95</v>
      </c>
      <c r="AB49" s="293" t="s">
        <v>41</v>
      </c>
      <c r="AC49" s="252"/>
    </row>
    <row r="50" spans="3:29" s="119" customFormat="1" ht="59.4" customHeight="1" thickBot="1">
      <c r="C50" s="357"/>
      <c r="D50" s="196" t="s">
        <v>239</v>
      </c>
      <c r="E50" s="195" t="s">
        <v>240</v>
      </c>
      <c r="F50" s="204" t="s">
        <v>31</v>
      </c>
      <c r="G50" s="204" t="s">
        <v>243</v>
      </c>
      <c r="H50" s="326" cm="1">
        <f t="array" ref="H50">_xlfn.IFS(N50&lt;5,4,0,N50&gt;4,N50&lt;=9,3,0,N50&gt;9,N50&lt;=15,2,0,N50&gt;15,1,1)</f>
        <v>2</v>
      </c>
      <c r="I50" s="195" t="s">
        <v>602</v>
      </c>
      <c r="J50" s="204" t="s">
        <v>34</v>
      </c>
      <c r="K50" s="217" t="s">
        <v>603</v>
      </c>
      <c r="L50" s="229">
        <v>5</v>
      </c>
      <c r="M50" s="229">
        <v>3</v>
      </c>
      <c r="N50" s="309">
        <f t="shared" si="1"/>
        <v>15</v>
      </c>
      <c r="O50" s="303" t="s">
        <v>55</v>
      </c>
      <c r="P50" s="221"/>
      <c r="Q50" s="234" t="s">
        <v>37</v>
      </c>
      <c r="R50" s="215" t="s">
        <v>605</v>
      </c>
      <c r="S50" s="229">
        <v>4</v>
      </c>
      <c r="T50" s="278">
        <v>3</v>
      </c>
      <c r="U50" s="287">
        <f t="shared" si="0"/>
        <v>12</v>
      </c>
      <c r="V50" s="221" t="s">
        <v>604</v>
      </c>
      <c r="W50" s="217" t="s">
        <v>40</v>
      </c>
      <c r="X50" s="217" t="s">
        <v>603</v>
      </c>
      <c r="Y50" s="206"/>
      <c r="Z50" s="206"/>
      <c r="AA50" s="217" t="s">
        <v>95</v>
      </c>
      <c r="AB50" s="293" t="s">
        <v>41</v>
      </c>
      <c r="AC50" s="252"/>
    </row>
    <row r="51" spans="3:29" s="119" customFormat="1" ht="66.900000000000006" customHeight="1" thickBot="1">
      <c r="C51" s="357"/>
      <c r="D51" s="196" t="s">
        <v>242</v>
      </c>
      <c r="E51" s="195"/>
      <c r="F51" s="204" t="s">
        <v>31</v>
      </c>
      <c r="G51" s="204" t="s">
        <v>245</v>
      </c>
      <c r="H51" s="326" cm="1">
        <f t="array" ref="H51">_xlfn.IFS(N51&lt;5,4,0,N51&gt;4,N51&lt;=9,3,0,N51&gt;9,N51&lt;=15,2,0,N51&gt;15,1,1)</f>
        <v>2</v>
      </c>
      <c r="I51" s="195" t="s">
        <v>606</v>
      </c>
      <c r="J51" s="204" t="s">
        <v>34</v>
      </c>
      <c r="K51" s="217" t="s">
        <v>657</v>
      </c>
      <c r="L51" s="229">
        <v>3</v>
      </c>
      <c r="M51" s="229">
        <v>4</v>
      </c>
      <c r="N51" s="309">
        <f t="shared" si="1"/>
        <v>12</v>
      </c>
      <c r="O51" s="303" t="s">
        <v>55</v>
      </c>
      <c r="P51" s="221"/>
      <c r="Q51" s="234" t="s">
        <v>37</v>
      </c>
      <c r="R51" s="215" t="s">
        <v>608</v>
      </c>
      <c r="S51" s="229">
        <v>3</v>
      </c>
      <c r="T51" s="278">
        <v>3</v>
      </c>
      <c r="U51" s="287">
        <f t="shared" si="0"/>
        <v>9</v>
      </c>
      <c r="V51" s="221" t="s">
        <v>659</v>
      </c>
      <c r="W51" s="217" t="s">
        <v>40</v>
      </c>
      <c r="X51" s="217" t="s">
        <v>607</v>
      </c>
      <c r="Y51" s="206"/>
      <c r="Z51" s="206"/>
      <c r="AA51" s="217" t="s">
        <v>95</v>
      </c>
      <c r="AB51" s="293" t="s">
        <v>41</v>
      </c>
      <c r="AC51" s="252"/>
    </row>
    <row r="52" spans="3:29" ht="52.8" thickBot="1">
      <c r="C52" s="357"/>
      <c r="D52" s="194" t="s">
        <v>244</v>
      </c>
      <c r="E52" s="324" t="s">
        <v>610</v>
      </c>
      <c r="F52" s="204" t="s">
        <v>31</v>
      </c>
      <c r="G52" s="204" t="s">
        <v>247</v>
      </c>
      <c r="H52" s="326" cm="1">
        <f t="array" ref="H52">_xlfn.IFS(N52&lt;5,4,0,N52&gt;4,N52&lt;=9,3,0,N52&gt;9,N52&lt;=15,2,0,N52&gt;15,1,1)</f>
        <v>2</v>
      </c>
      <c r="I52" s="324" t="s">
        <v>609</v>
      </c>
      <c r="J52" s="204" t="s">
        <v>34</v>
      </c>
      <c r="K52" s="217" t="s">
        <v>658</v>
      </c>
      <c r="L52" s="229">
        <v>3</v>
      </c>
      <c r="M52" s="229">
        <v>4</v>
      </c>
      <c r="N52" s="309">
        <f t="shared" si="1"/>
        <v>12</v>
      </c>
      <c r="O52" s="303" t="s">
        <v>55</v>
      </c>
      <c r="P52" s="325"/>
      <c r="Q52" s="234" t="s">
        <v>37</v>
      </c>
      <c r="R52" s="215" t="s">
        <v>611</v>
      </c>
      <c r="S52" s="229">
        <v>3</v>
      </c>
      <c r="T52" s="278">
        <v>3</v>
      </c>
      <c r="U52" s="287">
        <f t="shared" si="0"/>
        <v>9</v>
      </c>
      <c r="V52" s="221" t="s">
        <v>612</v>
      </c>
      <c r="W52" s="217" t="s">
        <v>40</v>
      </c>
      <c r="X52" s="217" t="s">
        <v>607</v>
      </c>
      <c r="Y52" s="209"/>
      <c r="Z52" s="209"/>
      <c r="AA52" s="217" t="s">
        <v>95</v>
      </c>
      <c r="AB52" s="293" t="s">
        <v>41</v>
      </c>
      <c r="AC52" s="254"/>
    </row>
    <row r="53" spans="3:29" ht="109.5" customHeight="1" thickBot="1">
      <c r="C53" s="358"/>
      <c r="D53" s="190" t="s">
        <v>246</v>
      </c>
      <c r="E53" s="210"/>
      <c r="F53" s="208" t="s">
        <v>31</v>
      </c>
      <c r="G53" s="208" t="s">
        <v>250</v>
      </c>
      <c r="H53" s="326" cm="1">
        <f t="array" ref="H53">_xlfn.IFS(N53&lt;5,4,0,N53&gt;4,N53&lt;=9,3,0,N53&gt;9,N53&lt;=15,2,0,N53&gt;15,1,1)</f>
        <v>2</v>
      </c>
      <c r="I53" s="191" t="s">
        <v>613</v>
      </c>
      <c r="J53" s="208" t="s">
        <v>34</v>
      </c>
      <c r="K53" s="218" t="s">
        <v>596</v>
      </c>
      <c r="L53" s="229">
        <v>3</v>
      </c>
      <c r="M53" s="229">
        <v>4</v>
      </c>
      <c r="N53" s="311">
        <f t="shared" si="1"/>
        <v>12</v>
      </c>
      <c r="O53" s="304" t="s">
        <v>55</v>
      </c>
      <c r="P53" s="223"/>
      <c r="Q53" s="235" t="s">
        <v>37</v>
      </c>
      <c r="R53" s="250" t="s">
        <v>614</v>
      </c>
      <c r="S53" s="230">
        <v>2</v>
      </c>
      <c r="T53" s="280">
        <v>4</v>
      </c>
      <c r="U53" s="288">
        <f t="shared" si="0"/>
        <v>8</v>
      </c>
      <c r="V53" s="320" t="s">
        <v>615</v>
      </c>
      <c r="W53" s="218" t="s">
        <v>40</v>
      </c>
      <c r="X53" s="191" t="s">
        <v>596</v>
      </c>
      <c r="Y53" s="203"/>
      <c r="Z53" s="203"/>
      <c r="AA53" s="218" t="s">
        <v>95</v>
      </c>
      <c r="AB53" s="295" t="s">
        <v>41</v>
      </c>
      <c r="AC53" s="248"/>
    </row>
    <row r="54" spans="3:29" ht="92.4" thickBot="1">
      <c r="C54" s="321" t="s">
        <v>248</v>
      </c>
      <c r="D54" s="188" t="s">
        <v>249</v>
      </c>
      <c r="E54" s="322" t="s">
        <v>616</v>
      </c>
      <c r="F54" s="201" t="s">
        <v>77</v>
      </c>
      <c r="G54" s="201" t="s">
        <v>251</v>
      </c>
      <c r="H54" s="326" cm="1">
        <f t="array" ref="H54">_xlfn.IFS(N54&lt;5,4,0,N54&gt;4,N54&lt;=9,3,0,N54&gt;9,N54&lt;=15,2,0,N54&gt;15,1,1)</f>
        <v>2</v>
      </c>
      <c r="I54" s="322" t="s">
        <v>619</v>
      </c>
      <c r="J54" s="201" t="s">
        <v>34</v>
      </c>
      <c r="K54" s="216" t="s">
        <v>620</v>
      </c>
      <c r="L54" s="229">
        <v>3</v>
      </c>
      <c r="M54" s="229">
        <v>5</v>
      </c>
      <c r="N54" s="306">
        <f t="shared" si="1"/>
        <v>15</v>
      </c>
      <c r="O54" s="301" t="s">
        <v>36</v>
      </c>
      <c r="P54" s="224"/>
      <c r="Q54" s="232" t="s">
        <v>37</v>
      </c>
      <c r="R54" s="323" t="s">
        <v>621</v>
      </c>
      <c r="S54" s="199">
        <v>2</v>
      </c>
      <c r="T54" s="200">
        <v>4</v>
      </c>
      <c r="U54" s="281">
        <f t="shared" si="0"/>
        <v>8</v>
      </c>
      <c r="V54" s="320" t="s">
        <v>623</v>
      </c>
      <c r="W54" s="216" t="s">
        <v>40</v>
      </c>
      <c r="X54" s="216" t="s">
        <v>620</v>
      </c>
      <c r="Y54" s="197"/>
      <c r="Z54" s="197"/>
      <c r="AA54" s="216" t="s">
        <v>95</v>
      </c>
      <c r="AB54" s="292" t="s">
        <v>41</v>
      </c>
      <c r="AC54" s="222" t="s">
        <v>622</v>
      </c>
    </row>
    <row r="55" spans="3:29" ht="113.1" customHeight="1" thickBot="1">
      <c r="C55" s="356" t="s">
        <v>254</v>
      </c>
      <c r="D55" s="188" t="s">
        <v>255</v>
      </c>
      <c r="E55" s="189"/>
      <c r="F55" s="201" t="s">
        <v>77</v>
      </c>
      <c r="G55" s="201" t="s">
        <v>252</v>
      </c>
      <c r="H55" s="326" cm="1">
        <f t="array" ref="H55">_xlfn.IFS(N55&lt;5,4,0,N55&gt;4,N55&lt;=9,3,0,N55&gt;9,N55&lt;=15,2,0,N55&gt;15,1,1)</f>
        <v>2</v>
      </c>
      <c r="I55" s="195" t="s">
        <v>627</v>
      </c>
      <c r="J55" s="201" t="s">
        <v>34</v>
      </c>
      <c r="K55" s="216" t="s">
        <v>624</v>
      </c>
      <c r="L55" s="229">
        <v>3</v>
      </c>
      <c r="M55" s="229">
        <v>4</v>
      </c>
      <c r="N55" s="306">
        <f t="shared" si="1"/>
        <v>12</v>
      </c>
      <c r="O55" s="301" t="s">
        <v>36</v>
      </c>
      <c r="P55" s="222"/>
      <c r="Q55" s="232" t="s">
        <v>37</v>
      </c>
      <c r="R55" s="195" t="s">
        <v>625</v>
      </c>
      <c r="S55" s="199">
        <v>2</v>
      </c>
      <c r="T55" s="200">
        <v>4</v>
      </c>
      <c r="U55" s="281">
        <f t="shared" si="0"/>
        <v>8</v>
      </c>
      <c r="V55" s="222" t="s">
        <v>626</v>
      </c>
      <c r="W55" s="216" t="s">
        <v>40</v>
      </c>
      <c r="X55" s="292" t="s">
        <v>624</v>
      </c>
      <c r="Y55" s="197"/>
      <c r="Z55" s="197"/>
      <c r="AA55" s="216" t="s">
        <v>95</v>
      </c>
      <c r="AB55" s="292" t="s">
        <v>41</v>
      </c>
      <c r="AC55" s="225"/>
    </row>
    <row r="56" spans="3:29" ht="70.5" customHeight="1" thickBot="1">
      <c r="C56" s="357"/>
      <c r="D56" s="194" t="s">
        <v>256</v>
      </c>
      <c r="E56" s="195"/>
      <c r="F56" s="204" t="s">
        <v>77</v>
      </c>
      <c r="G56" s="204" t="s">
        <v>253</v>
      </c>
      <c r="H56" s="326" cm="1">
        <f t="array" ref="H56">_xlfn.IFS(N56&lt;5,4,0,N56&gt;4,N56&lt;=9,3,0,N56&gt;9,N56&lt;=15,2,0,N56&gt;15,1,1)</f>
        <v>3</v>
      </c>
      <c r="I56" s="195" t="s">
        <v>628</v>
      </c>
      <c r="J56" s="204" t="s">
        <v>34</v>
      </c>
      <c r="K56" s="216" t="s">
        <v>624</v>
      </c>
      <c r="L56" s="229">
        <v>3</v>
      </c>
      <c r="M56" s="229">
        <v>3</v>
      </c>
      <c r="N56" s="309">
        <f t="shared" si="1"/>
        <v>9</v>
      </c>
      <c r="O56" s="303" t="s">
        <v>36</v>
      </c>
      <c r="P56" s="221"/>
      <c r="Q56" s="234" t="s">
        <v>37</v>
      </c>
      <c r="R56" s="215" t="s">
        <v>625</v>
      </c>
      <c r="S56" s="229">
        <v>2</v>
      </c>
      <c r="T56" s="278">
        <v>3</v>
      </c>
      <c r="U56" s="287">
        <f t="shared" si="0"/>
        <v>6</v>
      </c>
      <c r="V56" s="221" t="s">
        <v>629</v>
      </c>
      <c r="W56" s="217" t="s">
        <v>40</v>
      </c>
      <c r="X56" s="293" t="s">
        <v>624</v>
      </c>
      <c r="Y56" s="206"/>
      <c r="Z56" s="206"/>
      <c r="AA56" s="217" t="s">
        <v>95</v>
      </c>
      <c r="AB56" s="293" t="s">
        <v>41</v>
      </c>
      <c r="AC56" s="252"/>
    </row>
    <row r="57" spans="3:29" ht="84" customHeight="1" thickBot="1">
      <c r="C57" s="358"/>
      <c r="D57" s="190" t="s">
        <v>257</v>
      </c>
      <c r="E57" s="191"/>
      <c r="F57" s="208" t="s">
        <v>31</v>
      </c>
      <c r="G57" s="208" t="s">
        <v>617</v>
      </c>
      <c r="H57" s="326" cm="1">
        <f t="array" ref="H57">_xlfn.IFS(N57&lt;5,4,0,N57&gt;4,N57&lt;=9,3,0,N57&gt;9,N57&lt;=15,2,0,N57&gt;15,1,1)</f>
        <v>2</v>
      </c>
      <c r="I57" s="191" t="s">
        <v>630</v>
      </c>
      <c r="J57" s="208" t="s">
        <v>34</v>
      </c>
      <c r="K57" s="218" t="s">
        <v>633</v>
      </c>
      <c r="L57" s="229">
        <v>3</v>
      </c>
      <c r="M57" s="229">
        <v>4</v>
      </c>
      <c r="N57" s="311">
        <f t="shared" si="1"/>
        <v>12</v>
      </c>
      <c r="O57" s="304" t="s">
        <v>55</v>
      </c>
      <c r="P57" s="219"/>
      <c r="Q57" s="235" t="s">
        <v>37</v>
      </c>
      <c r="R57" s="250" t="s">
        <v>631</v>
      </c>
      <c r="S57" s="230">
        <v>2</v>
      </c>
      <c r="T57" s="280">
        <v>3</v>
      </c>
      <c r="U57" s="288">
        <f t="shared" si="0"/>
        <v>6</v>
      </c>
      <c r="V57" s="219" t="s">
        <v>632</v>
      </c>
      <c r="W57" s="218" t="s">
        <v>58</v>
      </c>
      <c r="X57" s="218" t="s">
        <v>633</v>
      </c>
      <c r="Y57" s="203"/>
      <c r="Z57" s="203"/>
      <c r="AA57" s="218" t="s">
        <v>95</v>
      </c>
      <c r="AB57" s="295" t="s">
        <v>41</v>
      </c>
      <c r="AC57" s="248"/>
    </row>
    <row r="58" spans="3:29" ht="72" thickBot="1">
      <c r="C58" s="356" t="s">
        <v>259</v>
      </c>
      <c r="D58" s="188" t="s">
        <v>260</v>
      </c>
      <c r="E58" s="189"/>
      <c r="F58" s="201" t="s">
        <v>31</v>
      </c>
      <c r="G58" s="201" t="s">
        <v>618</v>
      </c>
      <c r="H58" s="326" cm="1">
        <f t="array" ref="H58">_xlfn.IFS(N58&lt;5,4,0,N58&gt;4,N58&lt;=9,3,0,N58&gt;9,N58&lt;=15,2,0,N58&gt;15,1,1)</f>
        <v>2</v>
      </c>
      <c r="I58" s="189" t="s">
        <v>634</v>
      </c>
      <c r="J58" s="201" t="s">
        <v>34</v>
      </c>
      <c r="K58" s="216" t="s">
        <v>635</v>
      </c>
      <c r="L58" s="229">
        <v>3</v>
      </c>
      <c r="M58" s="229">
        <v>4</v>
      </c>
      <c r="N58" s="306">
        <f t="shared" si="1"/>
        <v>12</v>
      </c>
      <c r="O58" s="301" t="s">
        <v>36</v>
      </c>
      <c r="P58" s="222"/>
      <c r="Q58" s="232" t="s">
        <v>37</v>
      </c>
      <c r="R58" s="251" t="s">
        <v>636</v>
      </c>
      <c r="S58" s="199">
        <v>2</v>
      </c>
      <c r="T58" s="200">
        <v>3</v>
      </c>
      <c r="U58" s="281">
        <f t="shared" si="0"/>
        <v>6</v>
      </c>
      <c r="V58" s="222" t="s">
        <v>637</v>
      </c>
      <c r="W58" s="216"/>
      <c r="X58" s="189" t="s">
        <v>635</v>
      </c>
      <c r="Y58" s="197"/>
      <c r="Z58" s="197"/>
      <c r="AA58" s="216" t="s">
        <v>95</v>
      </c>
      <c r="AB58" s="292" t="s">
        <v>41</v>
      </c>
      <c r="AC58" s="225"/>
    </row>
    <row r="59" spans="3:29" ht="73.5" customHeight="1" thickBot="1">
      <c r="C59" s="357"/>
      <c r="D59" s="194" t="s">
        <v>262</v>
      </c>
      <c r="E59" s="195"/>
      <c r="F59" s="204" t="s">
        <v>77</v>
      </c>
      <c r="G59" s="204" t="s">
        <v>258</v>
      </c>
      <c r="H59" s="326" cm="1">
        <f t="array" ref="H59">_xlfn.IFS(N59&lt;5,4,0,N59&gt;4,N59&lt;=9,3,0,N59&gt;9,N59&lt;=15,2,0,N59&gt;15,1,1)</f>
        <v>2</v>
      </c>
      <c r="I59" s="195" t="s">
        <v>638</v>
      </c>
      <c r="J59" s="204" t="s">
        <v>34</v>
      </c>
      <c r="K59" s="217" t="s">
        <v>639</v>
      </c>
      <c r="L59" s="229">
        <v>3</v>
      </c>
      <c r="M59" s="229">
        <v>4</v>
      </c>
      <c r="N59" s="309">
        <f t="shared" si="1"/>
        <v>12</v>
      </c>
      <c r="O59" s="303" t="s">
        <v>55</v>
      </c>
      <c r="P59" s="221"/>
      <c r="Q59" s="234" t="s">
        <v>37</v>
      </c>
      <c r="R59" s="215" t="s">
        <v>640</v>
      </c>
      <c r="S59" s="229">
        <v>2</v>
      </c>
      <c r="T59" s="278">
        <v>3</v>
      </c>
      <c r="U59" s="287">
        <f t="shared" si="0"/>
        <v>6</v>
      </c>
      <c r="V59" s="221" t="s">
        <v>641</v>
      </c>
      <c r="W59" s="217" t="s">
        <v>40</v>
      </c>
      <c r="X59" s="195" t="s">
        <v>639</v>
      </c>
      <c r="Y59" s="206"/>
      <c r="Z59" s="206"/>
      <c r="AA59" s="217" t="s">
        <v>95</v>
      </c>
      <c r="AB59" s="293" t="s">
        <v>41</v>
      </c>
      <c r="AC59" s="252"/>
    </row>
    <row r="60" spans="3:29" s="119" customFormat="1" ht="80.400000000000006" customHeight="1" thickBot="1">
      <c r="C60" s="358"/>
      <c r="D60" s="190" t="s">
        <v>264</v>
      </c>
      <c r="E60" s="191"/>
      <c r="F60" s="208" t="s">
        <v>31</v>
      </c>
      <c r="G60" s="208" t="s">
        <v>261</v>
      </c>
      <c r="H60" s="326" cm="1">
        <f t="array" ref="H60">_xlfn.IFS(N60&lt;5,4,0,N60&gt;4,N60&lt;=9,3,0,N60&gt;9,N60&lt;=15,2,0,N60&gt;15,1,1)</f>
        <v>2</v>
      </c>
      <c r="I60" s="191" t="s">
        <v>638</v>
      </c>
      <c r="J60" s="208" t="s">
        <v>34</v>
      </c>
      <c r="K60" s="218" t="s">
        <v>639</v>
      </c>
      <c r="L60" s="229">
        <v>3</v>
      </c>
      <c r="M60" s="229">
        <v>4</v>
      </c>
      <c r="N60" s="311">
        <f t="shared" si="1"/>
        <v>12</v>
      </c>
      <c r="O60" s="304" t="s">
        <v>55</v>
      </c>
      <c r="P60" s="219"/>
      <c r="Q60" s="235" t="s">
        <v>37</v>
      </c>
      <c r="R60" s="250" t="s">
        <v>640</v>
      </c>
      <c r="S60" s="230">
        <v>3</v>
      </c>
      <c r="T60" s="280">
        <v>3</v>
      </c>
      <c r="U60" s="288">
        <f t="shared" si="0"/>
        <v>9</v>
      </c>
      <c r="V60" s="219" t="s">
        <v>642</v>
      </c>
      <c r="W60" s="218" t="s">
        <v>40</v>
      </c>
      <c r="X60" s="191" t="s">
        <v>639</v>
      </c>
      <c r="Y60" s="203"/>
      <c r="Z60" s="203"/>
      <c r="AA60" s="218" t="s">
        <v>95</v>
      </c>
      <c r="AB60" s="295" t="s">
        <v>41</v>
      </c>
      <c r="AC60" s="248"/>
    </row>
    <row r="61" spans="3:29" s="119" customFormat="1" ht="59.4" customHeight="1" thickBot="1">
      <c r="C61" s="356" t="s">
        <v>266</v>
      </c>
      <c r="D61" s="188" t="s">
        <v>267</v>
      </c>
      <c r="E61" s="189" t="s">
        <v>517</v>
      </c>
      <c r="F61" s="201" t="s">
        <v>77</v>
      </c>
      <c r="G61" s="201" t="s">
        <v>263</v>
      </c>
      <c r="H61" s="326" cm="1">
        <f t="array" ref="H61">_xlfn.IFS(N61&lt;5,4,0,N61&gt;4,N61&lt;=9,3,0,N61&gt;9,N61&lt;=15,2,0,N61&gt;15,1,1)</f>
        <v>2</v>
      </c>
      <c r="I61" s="195" t="s">
        <v>643</v>
      </c>
      <c r="J61" s="201" t="s">
        <v>34</v>
      </c>
      <c r="K61" s="216" t="s">
        <v>647</v>
      </c>
      <c r="L61" s="229">
        <v>2</v>
      </c>
      <c r="M61" s="229">
        <v>5</v>
      </c>
      <c r="N61" s="306">
        <f t="shared" si="1"/>
        <v>10</v>
      </c>
      <c r="O61" s="301" t="s">
        <v>55</v>
      </c>
      <c r="P61" s="225"/>
      <c r="Q61" s="232" t="s">
        <v>648</v>
      </c>
      <c r="R61" s="251" t="s">
        <v>649</v>
      </c>
      <c r="S61" s="279">
        <v>2</v>
      </c>
      <c r="T61" s="227">
        <v>5</v>
      </c>
      <c r="U61" s="289">
        <f t="shared" si="0"/>
        <v>10</v>
      </c>
      <c r="V61" s="222" t="s">
        <v>652</v>
      </c>
      <c r="W61" s="258" t="s">
        <v>40</v>
      </c>
      <c r="X61" s="197"/>
      <c r="Y61" s="197"/>
      <c r="Z61" s="197"/>
      <c r="AA61" s="258" t="s">
        <v>95</v>
      </c>
      <c r="AB61" s="297" t="s">
        <v>41</v>
      </c>
      <c r="AC61" s="225"/>
    </row>
    <row r="62" spans="3:29" ht="73.2" thickBot="1">
      <c r="C62" s="357"/>
      <c r="D62" s="194" t="s">
        <v>269</v>
      </c>
      <c r="E62" s="195"/>
      <c r="F62" s="204" t="s">
        <v>77</v>
      </c>
      <c r="G62" s="204" t="s">
        <v>265</v>
      </c>
      <c r="H62" s="326" cm="1">
        <f t="array" ref="H62">_xlfn.IFS(N62&lt;5,4,0,N62&gt;4,N62&lt;=9,3,0,N62&gt;9,N62&lt;=15,2,0,N62&gt;15,1,1)</f>
        <v>2</v>
      </c>
      <c r="I62" s="195" t="s">
        <v>644</v>
      </c>
      <c r="J62" s="204" t="s">
        <v>34</v>
      </c>
      <c r="K62" s="217" t="s">
        <v>647</v>
      </c>
      <c r="L62" s="229">
        <v>3</v>
      </c>
      <c r="M62" s="229">
        <v>4</v>
      </c>
      <c r="N62" s="309">
        <f t="shared" si="1"/>
        <v>12</v>
      </c>
      <c r="O62" s="303" t="s">
        <v>55</v>
      </c>
      <c r="P62" s="221"/>
      <c r="Q62" s="234" t="s">
        <v>37</v>
      </c>
      <c r="R62" s="215" t="s">
        <v>651</v>
      </c>
      <c r="S62" s="229">
        <v>2</v>
      </c>
      <c r="T62" s="278">
        <v>4</v>
      </c>
      <c r="U62" s="287">
        <f t="shared" si="0"/>
        <v>8</v>
      </c>
      <c r="V62" s="325" t="s">
        <v>654</v>
      </c>
      <c r="W62" s="217" t="s">
        <v>40</v>
      </c>
      <c r="X62" s="209"/>
      <c r="Y62" s="209"/>
      <c r="Z62" s="209"/>
      <c r="AA62" s="217" t="s">
        <v>95</v>
      </c>
      <c r="AB62" s="293" t="s">
        <v>41</v>
      </c>
      <c r="AC62" s="254"/>
    </row>
    <row r="63" spans="3:29" ht="52.8" thickBot="1">
      <c r="C63" s="357"/>
      <c r="D63" s="194" t="s">
        <v>661</v>
      </c>
      <c r="E63" s="195"/>
      <c r="F63" s="204" t="s">
        <v>77</v>
      </c>
      <c r="G63" s="204" t="s">
        <v>268</v>
      </c>
      <c r="H63" s="326" cm="1">
        <f t="array" ref="H63">_xlfn.IFS(N63&lt;5,4,0,N63&gt;4,N63&lt;=9,3,0,N63&gt;9,N63&lt;=15,2,0,N63&gt;15,1,1)</f>
        <v>3</v>
      </c>
      <c r="I63" s="195" t="s">
        <v>646</v>
      </c>
      <c r="J63" s="204" t="s">
        <v>34</v>
      </c>
      <c r="K63" s="217" t="s">
        <v>647</v>
      </c>
      <c r="L63" s="229">
        <v>2</v>
      </c>
      <c r="M63" s="229">
        <v>4</v>
      </c>
      <c r="N63" s="309">
        <f t="shared" si="1"/>
        <v>8</v>
      </c>
      <c r="O63" s="303" t="s">
        <v>82</v>
      </c>
      <c r="P63" s="221"/>
      <c r="Q63" s="234" t="s">
        <v>648</v>
      </c>
      <c r="R63" s="215" t="s">
        <v>650</v>
      </c>
      <c r="S63" s="229">
        <v>2</v>
      </c>
      <c r="T63" s="278">
        <v>4</v>
      </c>
      <c r="U63" s="287">
        <f t="shared" si="0"/>
        <v>8</v>
      </c>
      <c r="V63" s="325" t="s">
        <v>653</v>
      </c>
      <c r="W63" s="217" t="s">
        <v>40</v>
      </c>
      <c r="X63" s="209"/>
      <c r="Y63" s="209"/>
      <c r="Z63" s="209"/>
      <c r="AA63" s="217" t="s">
        <v>95</v>
      </c>
      <c r="AB63" s="293" t="s">
        <v>41</v>
      </c>
      <c r="AC63" s="254"/>
    </row>
    <row r="64" spans="3:29" ht="41.4" thickBot="1">
      <c r="C64" s="357"/>
      <c r="D64" s="194" t="s">
        <v>272</v>
      </c>
      <c r="E64" s="195"/>
      <c r="F64" s="204" t="s">
        <v>77</v>
      </c>
      <c r="G64" s="204" t="s">
        <v>270</v>
      </c>
      <c r="H64" s="326" cm="1">
        <f t="array" ref="H64">_xlfn.IFS(N64&lt;5,4,0,N64&gt;4,N64&lt;=9,3,0,N64&gt;9,N64&lt;=15,2,0,N64&gt;15,1,1)</f>
        <v>2</v>
      </c>
      <c r="I64" s="195" t="s">
        <v>645</v>
      </c>
      <c r="J64" s="204" t="s">
        <v>34</v>
      </c>
      <c r="K64" s="217" t="s">
        <v>647</v>
      </c>
      <c r="L64" s="229">
        <v>3</v>
      </c>
      <c r="M64" s="229">
        <v>4</v>
      </c>
      <c r="N64" s="309">
        <f t="shared" si="1"/>
        <v>12</v>
      </c>
      <c r="O64" s="303" t="s">
        <v>55</v>
      </c>
      <c r="P64" s="221"/>
      <c r="Q64" s="234" t="s">
        <v>648</v>
      </c>
      <c r="R64" s="215" t="s">
        <v>651</v>
      </c>
      <c r="S64" s="229">
        <v>3</v>
      </c>
      <c r="T64" s="278">
        <v>4</v>
      </c>
      <c r="U64" s="287">
        <f t="shared" si="0"/>
        <v>12</v>
      </c>
      <c r="V64" s="221" t="s">
        <v>655</v>
      </c>
      <c r="W64" s="217" t="s">
        <v>40</v>
      </c>
      <c r="X64" s="209"/>
      <c r="Y64" s="209"/>
      <c r="Z64" s="209"/>
      <c r="AA64" s="217" t="s">
        <v>95</v>
      </c>
      <c r="AB64" s="293" t="s">
        <v>41</v>
      </c>
      <c r="AC64" s="254"/>
    </row>
    <row r="65" spans="3:29" ht="42.6" thickBot="1">
      <c r="C65" s="359"/>
      <c r="D65" s="198" t="s">
        <v>274</v>
      </c>
      <c r="E65" s="212"/>
      <c r="F65" s="204" t="s">
        <v>77</v>
      </c>
      <c r="G65" s="204" t="s">
        <v>271</v>
      </c>
      <c r="H65" s="326" cm="1">
        <f t="array" ref="H65">_xlfn.IFS(N65&lt;5,4,0,N65&gt;4,N65&lt;=9,3,0,N65&gt;9,N65&lt;=15,2,0,N65&gt;15,1,1)</f>
        <v>4</v>
      </c>
      <c r="I65" s="212" t="s">
        <v>645</v>
      </c>
      <c r="J65" s="204" t="s">
        <v>34</v>
      </c>
      <c r="K65" s="259" t="s">
        <v>647</v>
      </c>
      <c r="L65" s="229">
        <v>1</v>
      </c>
      <c r="M65" s="229">
        <v>4</v>
      </c>
      <c r="N65" s="309">
        <f t="shared" si="1"/>
        <v>4</v>
      </c>
      <c r="O65" s="303" t="s">
        <v>55</v>
      </c>
      <c r="P65" s="226"/>
      <c r="Q65" s="234" t="s">
        <v>648</v>
      </c>
      <c r="R65" s="215" t="s">
        <v>651</v>
      </c>
      <c r="S65" s="229">
        <v>1</v>
      </c>
      <c r="T65" s="278">
        <v>4</v>
      </c>
      <c r="U65" s="287">
        <f t="shared" si="0"/>
        <v>4</v>
      </c>
      <c r="V65" s="325" t="s">
        <v>656</v>
      </c>
      <c r="W65" s="259" t="s">
        <v>40</v>
      </c>
      <c r="X65" s="213"/>
      <c r="Y65" s="213"/>
      <c r="Z65" s="213"/>
      <c r="AA65" s="259" t="s">
        <v>95</v>
      </c>
      <c r="AB65" s="298" t="s">
        <v>41</v>
      </c>
      <c r="AC65" s="256"/>
    </row>
    <row r="66" spans="3:29" ht="52.8" thickBot="1">
      <c r="C66" s="358"/>
      <c r="D66" s="190" t="s">
        <v>275</v>
      </c>
      <c r="E66" s="191" t="s">
        <v>276</v>
      </c>
      <c r="F66" s="208" t="s">
        <v>31</v>
      </c>
      <c r="G66" s="332" t="s">
        <v>273</v>
      </c>
      <c r="H66" s="326" cm="1">
        <f t="array" ref="H66">_xlfn.IFS(N66&lt;5,4,0,N66&gt;4,N66&lt;=9,3,0,N66&gt;9,N66&lt;=15,2,0,N66&gt;15,1,1)</f>
        <v>4</v>
      </c>
      <c r="I66" s="191" t="s">
        <v>646</v>
      </c>
      <c r="J66" s="208" t="s">
        <v>34</v>
      </c>
      <c r="K66" s="218" t="s">
        <v>647</v>
      </c>
      <c r="L66" s="229">
        <v>1</v>
      </c>
      <c r="M66" s="229">
        <v>4</v>
      </c>
      <c r="N66" s="311">
        <f t="shared" si="1"/>
        <v>4</v>
      </c>
      <c r="O66" s="304" t="s">
        <v>55</v>
      </c>
      <c r="P66" s="219"/>
      <c r="Q66" s="235" t="s">
        <v>648</v>
      </c>
      <c r="R66" s="250" t="s">
        <v>651</v>
      </c>
      <c r="S66" s="230">
        <v>1</v>
      </c>
      <c r="T66" s="280">
        <v>4</v>
      </c>
      <c r="U66" s="288">
        <f t="shared" si="0"/>
        <v>4</v>
      </c>
      <c r="V66" s="325" t="s">
        <v>653</v>
      </c>
      <c r="W66" s="218" t="s">
        <v>40</v>
      </c>
      <c r="X66" s="211"/>
      <c r="Y66" s="211"/>
      <c r="Z66" s="211"/>
      <c r="AA66" s="218" t="s">
        <v>95</v>
      </c>
      <c r="AB66" s="295" t="s">
        <v>41</v>
      </c>
      <c r="AC66" s="255"/>
    </row>
    <row r="67" spans="3:29">
      <c r="D67" s="214"/>
      <c r="E67" s="214"/>
      <c r="F67" s="214"/>
      <c r="G67" s="214"/>
      <c r="I67" s="214"/>
      <c r="J67" s="214"/>
      <c r="K67" s="261"/>
      <c r="L67" s="214"/>
      <c r="M67" s="214"/>
      <c r="N67" s="214"/>
      <c r="O67" s="214"/>
      <c r="P67" s="214"/>
      <c r="Q67" s="214"/>
      <c r="R67" s="214"/>
      <c r="S67" s="214"/>
      <c r="T67" s="214"/>
      <c r="U67" s="155"/>
      <c r="V67" s="155"/>
      <c r="W67" s="155"/>
      <c r="X67" s="155"/>
      <c r="Y67" s="155"/>
      <c r="Z67" s="155"/>
      <c r="AA67" s="155"/>
      <c r="AB67" s="155"/>
      <c r="AC67" s="155"/>
    </row>
    <row r="68" spans="3:29">
      <c r="C68" s="130"/>
    </row>
    <row r="69" spans="3:29">
      <c r="I69" s="128"/>
    </row>
  </sheetData>
  <protectedRanges>
    <protectedRange sqref="J10:J66" name="Risks"/>
    <protectedRange sqref="Q10:Q66" name="Risks_1"/>
    <protectedRange sqref="Z22 F10:F66 O10:O66 W10:W66 AA10:AA66" name="Risks_2"/>
    <protectedRange sqref="AB10:AB66" name="Risks_4"/>
  </protectedRanges>
  <autoFilter ref="H1:H69" xr:uid="{7A39B37B-1937-4065-8264-11EB8E71E1CD}"/>
  <mergeCells count="33">
    <mergeCell ref="O7:AC7"/>
    <mergeCell ref="C10:C11"/>
    <mergeCell ref="C12:C24"/>
    <mergeCell ref="C25:C40"/>
    <mergeCell ref="C41:C46"/>
    <mergeCell ref="Q8:Q9"/>
    <mergeCell ref="V8:V9"/>
    <mergeCell ref="W8:W9"/>
    <mergeCell ref="X8:X9"/>
    <mergeCell ref="AA8:AA9"/>
    <mergeCell ref="AB8:AB9"/>
    <mergeCell ref="L8:N8"/>
    <mergeCell ref="E15:E16"/>
    <mergeCell ref="C7:N7"/>
    <mergeCell ref="I8:I9"/>
    <mergeCell ref="H8:H9"/>
    <mergeCell ref="C58:C60"/>
    <mergeCell ref="C61:C66"/>
    <mergeCell ref="S8:U8"/>
    <mergeCell ref="G8:G9"/>
    <mergeCell ref="C47:C53"/>
    <mergeCell ref="D8:D9"/>
    <mergeCell ref="J8:K8"/>
    <mergeCell ref="C8:C9"/>
    <mergeCell ref="F8:F9"/>
    <mergeCell ref="E8:E9"/>
    <mergeCell ref="C55:C57"/>
    <mergeCell ref="AC8:AC9"/>
    <mergeCell ref="R8:R9"/>
    <mergeCell ref="O8:O9"/>
    <mergeCell ref="P8:P9"/>
    <mergeCell ref="Y8:Y9"/>
    <mergeCell ref="Z8:Z9"/>
  </mergeCells>
  <phoneticPr fontId="9" type="noConversion"/>
  <conditionalFormatting sqref="N10:O10 O11:O39 Q10:Q39 N12:N66 O41:O66 Q41:Q66">
    <cfRule type="expression" dxfId="134" priority="160">
      <formula>AND(N10&gt;=1,N10&lt;=9)</formula>
    </cfRule>
    <cfRule type="expression" dxfId="133" priority="161">
      <formula>AND(N10&gt;=16,N10&lt;=25)</formula>
    </cfRule>
    <cfRule type="expression" dxfId="132" priority="162">
      <formula>AND(N10&gt;=10,N10&lt;=15)</formula>
    </cfRule>
  </conditionalFormatting>
  <conditionalFormatting sqref="N10:O10 O11:O39 Q10:Q39 U10:U40 S11:T40 N12:N66 L25:M66 S41:U66 O41:O66 Q41:Q66 M14 M16">
    <cfRule type="expression" dxfId="131" priority="159">
      <formula>$L10=""</formula>
    </cfRule>
  </conditionalFormatting>
  <conditionalFormatting sqref="L10:M10 L25:M66 S11:T66">
    <cfRule type="expression" dxfId="130" priority="156">
      <formula>L10&lt;=3</formula>
    </cfRule>
    <cfRule type="expression" dxfId="129" priority="157">
      <formula>L10=5</formula>
    </cfRule>
    <cfRule type="expression" dxfId="128" priority="158">
      <formula>L10=4</formula>
    </cfRule>
  </conditionalFormatting>
  <conditionalFormatting sqref="L10:M10">
    <cfRule type="expression" dxfId="127" priority="155">
      <formula>$L10=""</formula>
    </cfRule>
  </conditionalFormatting>
  <conditionalFormatting sqref="U10:U66">
    <cfRule type="cellIs" dxfId="126" priority="63" operator="between">
      <formula>5</formula>
      <formula>9</formula>
    </cfRule>
    <cfRule type="expression" dxfId="125" priority="148">
      <formula>AND(U10&gt;=1,U10&lt;=9)</formula>
    </cfRule>
    <cfRule type="expression" dxfId="124" priority="149">
      <formula>AND(U10&gt;=16,U10&lt;=25)</formula>
    </cfRule>
    <cfRule type="expression" dxfId="123" priority="150">
      <formula>AND(U10&gt;=10,U10&lt;=15)</formula>
    </cfRule>
  </conditionalFormatting>
  <conditionalFormatting sqref="S10:T10">
    <cfRule type="expression" dxfId="122" priority="144">
      <formula>S10&lt;=3</formula>
    </cfRule>
    <cfRule type="expression" dxfId="121" priority="145">
      <formula>S10=5</formula>
    </cfRule>
    <cfRule type="expression" dxfId="120" priority="146">
      <formula>S10=4</formula>
    </cfRule>
  </conditionalFormatting>
  <conditionalFormatting sqref="S10:T10">
    <cfRule type="expression" dxfId="119" priority="143">
      <formula>$L10=""</formula>
    </cfRule>
  </conditionalFormatting>
  <conditionalFormatting sqref="N10:N66">
    <cfRule type="cellIs" dxfId="118" priority="120" operator="between">
      <formula>5</formula>
      <formula>9</formula>
    </cfRule>
    <cfRule type="cellIs" dxfId="117" priority="121" operator="between">
      <formula>1</formula>
      <formula>4</formula>
    </cfRule>
    <cfRule type="cellIs" dxfId="116" priority="122" operator="between">
      <formula>1</formula>
      <formula>4</formula>
    </cfRule>
  </conditionalFormatting>
  <conditionalFormatting sqref="L11:L18">
    <cfRule type="cellIs" dxfId="115" priority="68" operator="between">
      <formula>1</formula>
      <formula>4</formula>
    </cfRule>
    <cfRule type="cellIs" priority="69" operator="between">
      <formula>1</formula>
      <formula>4</formula>
    </cfRule>
    <cfRule type="expression" dxfId="114" priority="104">
      <formula>L11&lt;=3</formula>
    </cfRule>
    <cfRule type="expression" dxfId="113" priority="105">
      <formula>L11=5</formula>
    </cfRule>
    <cfRule type="expression" dxfId="112" priority="106">
      <formula>L11=4</formula>
    </cfRule>
  </conditionalFormatting>
  <conditionalFormatting sqref="L11:L18">
    <cfRule type="expression" dxfId="111" priority="103">
      <formula>$L11=""</formula>
    </cfRule>
  </conditionalFormatting>
  <conditionalFormatting sqref="N11">
    <cfRule type="cellIs" dxfId="110" priority="71" operator="between">
      <formula>5</formula>
      <formula>9</formula>
    </cfRule>
    <cfRule type="expression" dxfId="109" priority="81">
      <formula>AND(N11&gt;=1,N11&lt;=9)</formula>
    </cfRule>
    <cfRule type="expression" dxfId="108" priority="82">
      <formula>AND(N11&gt;=16,N11&lt;=25)</formula>
    </cfRule>
    <cfRule type="expression" dxfId="107" priority="83">
      <formula>AND(N11&gt;=10,N11&lt;=15)</formula>
    </cfRule>
  </conditionalFormatting>
  <conditionalFormatting sqref="N11">
    <cfRule type="expression" dxfId="106" priority="80">
      <formula>$L11=""</formula>
    </cfRule>
  </conditionalFormatting>
  <conditionalFormatting sqref="M12 M14 M16">
    <cfRule type="cellIs" dxfId="105" priority="70" operator="between">
      <formula>1</formula>
      <formula>4</formula>
    </cfRule>
    <cfRule type="expression" dxfId="104" priority="77">
      <formula>M12&lt;=3</formula>
    </cfRule>
    <cfRule type="expression" dxfId="103" priority="78">
      <formula>M12=5</formula>
    </cfRule>
    <cfRule type="expression" dxfId="102" priority="79">
      <formula>M12=4</formula>
    </cfRule>
  </conditionalFormatting>
  <conditionalFormatting sqref="M12">
    <cfRule type="expression" dxfId="101" priority="76">
      <formula>$L12=""</formula>
    </cfRule>
  </conditionalFormatting>
  <conditionalFormatting sqref="M11">
    <cfRule type="expression" dxfId="100" priority="50">
      <formula>M11&lt;=3</formula>
    </cfRule>
    <cfRule type="expression" dxfId="99" priority="51">
      <formula>M11=5</formula>
    </cfRule>
    <cfRule type="expression" dxfId="98" priority="52">
      <formula>M11=4</formula>
    </cfRule>
  </conditionalFormatting>
  <conditionalFormatting sqref="M11">
    <cfRule type="expression" dxfId="97" priority="49">
      <formula>$L11=""</formula>
    </cfRule>
  </conditionalFormatting>
  <conditionalFormatting sqref="M13">
    <cfRule type="expression" dxfId="96" priority="46">
      <formula>M13&lt;=3</formula>
    </cfRule>
    <cfRule type="expression" dxfId="95" priority="47">
      <formula>M13=5</formula>
    </cfRule>
    <cfRule type="expression" dxfId="94" priority="48">
      <formula>M13=4</formula>
    </cfRule>
  </conditionalFormatting>
  <conditionalFormatting sqref="M13">
    <cfRule type="expression" dxfId="93" priority="45">
      <formula>$L13=""</formula>
    </cfRule>
  </conditionalFormatting>
  <conditionalFormatting sqref="M17">
    <cfRule type="expression" dxfId="92" priority="42">
      <formula>M17&lt;=3</formula>
    </cfRule>
    <cfRule type="expression" dxfId="91" priority="43">
      <formula>M17=5</formula>
    </cfRule>
    <cfRule type="expression" dxfId="90" priority="44">
      <formula>M17=4</formula>
    </cfRule>
  </conditionalFormatting>
  <conditionalFormatting sqref="M17">
    <cfRule type="expression" dxfId="89" priority="41">
      <formula>$L17=""</formula>
    </cfRule>
  </conditionalFormatting>
  <conditionalFormatting sqref="L19:L24">
    <cfRule type="expression" dxfId="88" priority="38">
      <formula>L19&lt;=3</formula>
    </cfRule>
    <cfRule type="expression" dxfId="87" priority="39">
      <formula>L19=5</formula>
    </cfRule>
    <cfRule type="expression" dxfId="86" priority="40">
      <formula>L19=4</formula>
    </cfRule>
  </conditionalFormatting>
  <conditionalFormatting sqref="L19:L24">
    <cfRule type="expression" dxfId="85" priority="37">
      <formula>$L19=""</formula>
    </cfRule>
  </conditionalFormatting>
  <conditionalFormatting sqref="M15">
    <cfRule type="expression" dxfId="84" priority="34">
      <formula>M15&lt;=3</formula>
    </cfRule>
    <cfRule type="expression" dxfId="83" priority="35">
      <formula>M15=5</formula>
    </cfRule>
    <cfRule type="expression" dxfId="82" priority="36">
      <formula>M15=4</formula>
    </cfRule>
  </conditionalFormatting>
  <conditionalFormatting sqref="M15">
    <cfRule type="expression" dxfId="81" priority="33">
      <formula>$L15=""</formula>
    </cfRule>
  </conditionalFormatting>
  <conditionalFormatting sqref="M18:M24">
    <cfRule type="expression" dxfId="80" priority="30">
      <formula>M18&lt;=3</formula>
    </cfRule>
    <cfRule type="expression" dxfId="79" priority="31">
      <formula>M18=5</formula>
    </cfRule>
    <cfRule type="expression" dxfId="78" priority="32">
      <formula>M18=4</formula>
    </cfRule>
  </conditionalFormatting>
  <conditionalFormatting sqref="M18:M24">
    <cfRule type="expression" dxfId="77" priority="29">
      <formula>$L18=""</formula>
    </cfRule>
  </conditionalFormatting>
  <conditionalFormatting sqref="G66 H10:H66">
    <cfRule type="cellIs" dxfId="76" priority="13" operator="between">
      <formula>2</formula>
      <formula>2</formula>
    </cfRule>
    <cfRule type="cellIs" dxfId="75" priority="14" operator="between">
      <formula>3</formula>
      <formula>3</formula>
    </cfRule>
  </conditionalFormatting>
  <conditionalFormatting sqref="N10:N67 G66 H10:H66">
    <cfRule type="cellIs" dxfId="74" priority="16" operator="between">
      <formula>1</formula>
      <formula>1</formula>
    </cfRule>
  </conditionalFormatting>
  <conditionalFormatting sqref="H10:H66">
    <cfRule type="cellIs" dxfId="73" priority="3" operator="between">
      <formula>4</formula>
      <formula>4</formula>
    </cfRule>
  </conditionalFormatting>
  <conditionalFormatting sqref="G66">
    <cfRule type="cellIs" dxfId="72" priority="1" operator="between">
      <formula>4</formula>
      <formula>4</formula>
    </cfRule>
  </conditionalFormatting>
  <dataValidations count="11">
    <dataValidation type="list" allowBlank="1" showInputMessage="1" showErrorMessage="1" sqref="AA10:AA11 AA15 AA23:AA66" xr:uid="{94FDFD43-0663-49D9-BE87-FFE6A009A74E}">
      <formula1>"Constant,hebdomadaire,mensuel,semestriel,annuel"</formula1>
    </dataValidation>
    <dataValidation type="list" allowBlank="1" showInputMessage="1" showErrorMessage="1" sqref="AA14" xr:uid="{062C8F4E-8704-4900-8006-A06EC4DFD268}">
      <formula1>"Constant,Hebdomadaire,mensuel,semestriel,annuel"</formula1>
    </dataValidation>
    <dataValidation type="list" allowBlank="1" showInputMessage="1" showErrorMessage="1" sqref="AA12:AA13" xr:uid="{6AC309D3-31A1-4F42-BE8C-567B8EDB5DFD}">
      <formula1>"Constant,Hebdomadaire,mensuel,semestriel,Annuel"</formula1>
    </dataValidation>
    <dataValidation type="list" allowBlank="1" showInputMessage="1" showErrorMessage="1" sqref="Z22:AA22 AA16:AA20 W11:W66" xr:uid="{F070BFA0-0BA7-4389-BD6D-627A1A85F128}">
      <formula1>"Constant,hebdomadaire,mensuel,semestriel,annuel,Trimestriel"</formula1>
    </dataValidation>
    <dataValidation type="list" allowBlank="1" showInputMessage="1" showErrorMessage="1" sqref="AA21 W10" xr:uid="{7C1A8236-675B-4C2D-9AE0-A93F6FC85527}">
      <formula1>"Constant,Hebdomadaire,Mensuel,Semestriel,Annuel,Trimestriel"</formula1>
    </dataValidation>
    <dataValidation type="list" allowBlank="1" showInputMessage="1" showErrorMessage="1" sqref="S10:T66 L10:M66" xr:uid="{CFDFAF09-4701-4D57-9779-946CF427FBD9}">
      <formula1>"1,2,3,4,5"</formula1>
    </dataValidation>
    <dataValidation type="list" allowBlank="1" showInputMessage="1" showErrorMessage="1" sqref="J10:J66" xr:uid="{C9C2BEB9-2662-4703-801E-1685A8D108F7}">
      <formula1>"Interne, Externe"</formula1>
    </dataValidation>
    <dataValidation type="list" allowBlank="1" showInputMessage="1" showErrorMessage="1" sqref="Q10:Q66" xr:uid="{89392EED-4465-4748-A292-28DD3BE7B57E}">
      <formula1>"Éviter,Transférer,Atténuer,Accepter"</formula1>
    </dataValidation>
    <dataValidation type="list" allowBlank="1" showInputMessage="1" showErrorMessage="1" sqref="O10:O66" xr:uid="{1D019C17-62FC-4B98-BB17-2C5C0CE0728F}">
      <formula1>"Règles/procédures , Formation , Supervision , Exclusion , Substitution , Réévaluation"</formula1>
    </dataValidation>
    <dataValidation type="list" allowBlank="1" showInputMessage="1" showErrorMessage="1" sqref="AB10:AB66" xr:uid="{D1A8A09B-387F-4C23-AB02-18D9B7FAA66F}">
      <formula1>"Actif , Archivé"</formula1>
    </dataValidation>
    <dataValidation type="list" allowBlank="1" showInputMessage="1" showErrorMessage="1" sqref="F10:F66" xr:uid="{D5196E97-9733-400F-A6C9-1367CD6AB58E}">
      <formula1>"RG,RS"</formula1>
    </dataValidation>
  </dataValidations>
  <pageMargins left="0.25" right="0.25" top="0.75" bottom="0.75" header="0.3" footer="0.3"/>
  <pageSetup paperSize="9" fitToHeight="0" orientation="landscape" r:id="rId1"/>
  <ignoredErrors>
    <ignoredError sqref="U10 N10:N15" unlockedFormula="1"/>
  </ignoredErrors>
  <drawing r:id="rId2"/>
  <legacyDrawing r:id="rId3"/>
  <controls>
    <mc:AlternateContent xmlns:mc="http://schemas.openxmlformats.org/markup-compatibility/2006">
      <mc:Choice Requires="x14">
        <control shapeId="2050" r:id="rId4" name="cmdGenerer">
          <controlPr defaultSize="0" autoLine="0" r:id="rId5">
            <anchor moveWithCells="1">
              <from>
                <xdr:col>12</xdr:col>
                <xdr:colOff>373380</xdr:colOff>
                <xdr:row>1</xdr:row>
                <xdr:rowOff>68580</xdr:rowOff>
              </from>
              <to>
                <xdr:col>15</xdr:col>
                <xdr:colOff>304800</xdr:colOff>
                <xdr:row>3</xdr:row>
                <xdr:rowOff>68580</xdr:rowOff>
              </to>
            </anchor>
          </controlPr>
        </control>
      </mc:Choice>
      <mc:Fallback>
        <control shapeId="2050" r:id="rId4" name="cmdGener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6F071-BCF7-4A57-9209-18FEF4768423}">
  <sheetPr codeName="Feuil2">
    <tabColor rgb="FF0070C0"/>
  </sheetPr>
  <dimension ref="C1:Q77"/>
  <sheetViews>
    <sheetView showGridLines="0" zoomScaleNormal="100" workbookViewId="0">
      <selection activeCell="C15" sqref="C15"/>
    </sheetView>
  </sheetViews>
  <sheetFormatPr defaultColWidth="10.88671875" defaultRowHeight="12"/>
  <cols>
    <col min="1" max="1" width="2.44140625" style="139" customWidth="1"/>
    <col min="2" max="2" width="0.88671875" style="139" customWidth="1"/>
    <col min="3" max="3" width="17.5546875" style="139" customWidth="1"/>
    <col min="4" max="4" width="11.44140625" style="139" customWidth="1"/>
    <col min="5" max="5" width="11.109375" style="139" bestFit="1" customWidth="1"/>
    <col min="6" max="6" width="9.44140625" style="139" customWidth="1"/>
    <col min="7" max="8" width="8" style="139" customWidth="1"/>
    <col min="9" max="9" width="11.109375" style="139" customWidth="1"/>
    <col min="10" max="10" width="5.88671875" style="139" customWidth="1"/>
    <col min="11" max="11" width="11.109375" style="139" customWidth="1"/>
    <col min="12" max="12" width="17.5546875" style="139" customWidth="1"/>
    <col min="13" max="13" width="13.5546875" style="139" customWidth="1"/>
    <col min="14" max="14" width="2.88671875" style="139" customWidth="1"/>
    <col min="15" max="15" width="61.33203125" style="139" customWidth="1"/>
    <col min="16" max="16" width="43.33203125" style="139" customWidth="1"/>
    <col min="17" max="17" width="10.88671875" style="139" customWidth="1"/>
    <col min="18" max="18" width="7.5546875" style="139" customWidth="1"/>
    <col min="19" max="16384" width="10.88671875" style="139"/>
  </cols>
  <sheetData>
    <row r="1" spans="3:16" ht="13.2">
      <c r="C1" s="385" t="s">
        <v>277</v>
      </c>
      <c r="D1" s="385"/>
      <c r="E1" s="385"/>
      <c r="F1" s="385"/>
      <c r="G1" s="385"/>
      <c r="H1" s="385"/>
      <c r="I1" s="385"/>
    </row>
    <row r="2" spans="3:16" ht="11.4" customHeight="1">
      <c r="O2" s="148"/>
    </row>
    <row r="3" spans="3:16" ht="12.6" thickBot="1">
      <c r="H3" s="144"/>
      <c r="I3" s="144"/>
      <c r="O3" s="148"/>
    </row>
    <row r="4" spans="3:16" ht="12.9" customHeight="1" thickBot="1">
      <c r="E4" s="380" t="s">
        <v>278</v>
      </c>
      <c r="F4" s="381"/>
      <c r="G4" s="381"/>
      <c r="H4" s="381"/>
      <c r="I4" s="382"/>
      <c r="O4" s="148"/>
    </row>
    <row r="5" spans="3:16" s="164" customFormat="1" ht="23.1" customHeight="1" thickBot="1">
      <c r="C5" s="383" t="s">
        <v>279</v>
      </c>
      <c r="D5" s="384"/>
      <c r="E5" s="182" t="s">
        <v>280</v>
      </c>
      <c r="F5" s="183" t="s">
        <v>281</v>
      </c>
      <c r="G5" s="184" t="s">
        <v>282</v>
      </c>
      <c r="H5" s="185" t="s">
        <v>283</v>
      </c>
      <c r="I5" s="182" t="s">
        <v>284</v>
      </c>
      <c r="K5" s="171" t="s">
        <v>285</v>
      </c>
      <c r="L5" s="171" t="s">
        <v>286</v>
      </c>
      <c r="M5" s="171" t="s">
        <v>286</v>
      </c>
      <c r="O5" s="168" t="s">
        <v>287</v>
      </c>
      <c r="P5" s="168" t="s">
        <v>288</v>
      </c>
    </row>
    <row r="6" spans="3:16" ht="12.6" thickBot="1">
      <c r="C6" s="140" t="s">
        <v>289</v>
      </c>
      <c r="D6" s="149">
        <v>5</v>
      </c>
      <c r="E6" s="173" t="s">
        <v>282</v>
      </c>
      <c r="F6" s="174" t="s">
        <v>290</v>
      </c>
      <c r="G6" s="174" t="s">
        <v>290</v>
      </c>
      <c r="H6" s="180" t="s">
        <v>291</v>
      </c>
      <c r="I6" s="147" t="s">
        <v>291</v>
      </c>
      <c r="K6" s="156" t="s">
        <v>292</v>
      </c>
      <c r="L6" s="156" t="s">
        <v>293</v>
      </c>
      <c r="M6" s="157" t="s">
        <v>294</v>
      </c>
      <c r="O6" s="169" t="s">
        <v>295</v>
      </c>
      <c r="P6" s="169" t="s">
        <v>296</v>
      </c>
    </row>
    <row r="7" spans="3:16" ht="12.6" thickBot="1">
      <c r="C7" s="141" t="s">
        <v>297</v>
      </c>
      <c r="D7" s="150">
        <v>4</v>
      </c>
      <c r="E7" s="186" t="s">
        <v>298</v>
      </c>
      <c r="F7" s="175" t="s">
        <v>282</v>
      </c>
      <c r="G7" s="176" t="s">
        <v>290</v>
      </c>
      <c r="H7" s="181" t="s">
        <v>291</v>
      </c>
      <c r="I7" s="177" t="s">
        <v>291</v>
      </c>
      <c r="K7" s="158" t="s">
        <v>299</v>
      </c>
      <c r="L7" s="158" t="s">
        <v>300</v>
      </c>
      <c r="M7" s="159" t="s">
        <v>301</v>
      </c>
      <c r="O7" s="169" t="s">
        <v>302</v>
      </c>
      <c r="P7" s="169" t="s">
        <v>303</v>
      </c>
    </row>
    <row r="8" spans="3:16" ht="12.6" thickBot="1">
      <c r="C8" s="141" t="s">
        <v>304</v>
      </c>
      <c r="D8" s="150">
        <v>3</v>
      </c>
      <c r="E8" s="186" t="s">
        <v>298</v>
      </c>
      <c r="F8" s="175" t="s">
        <v>282</v>
      </c>
      <c r="G8" s="175" t="s">
        <v>282</v>
      </c>
      <c r="H8" s="176" t="s">
        <v>290</v>
      </c>
      <c r="I8" s="178" t="s">
        <v>290</v>
      </c>
      <c r="K8" s="162" t="s">
        <v>305</v>
      </c>
      <c r="L8" s="162" t="s">
        <v>306</v>
      </c>
      <c r="M8" s="163" t="s">
        <v>307</v>
      </c>
      <c r="O8" s="169" t="s">
        <v>308</v>
      </c>
      <c r="P8" s="169" t="s">
        <v>309</v>
      </c>
    </row>
    <row r="9" spans="3:16" ht="12.6" thickBot="1">
      <c r="C9" s="141" t="s">
        <v>310</v>
      </c>
      <c r="D9" s="150">
        <v>2</v>
      </c>
      <c r="E9" s="186" t="s">
        <v>298</v>
      </c>
      <c r="F9" s="186" t="s">
        <v>298</v>
      </c>
      <c r="G9" s="175" t="s">
        <v>282</v>
      </c>
      <c r="H9" s="175" t="s">
        <v>282</v>
      </c>
      <c r="I9" s="178" t="s">
        <v>290</v>
      </c>
      <c r="K9" s="160" t="s">
        <v>311</v>
      </c>
      <c r="L9" s="160" t="s">
        <v>312</v>
      </c>
      <c r="M9" s="161" t="s">
        <v>313</v>
      </c>
      <c r="O9" s="169" t="s">
        <v>314</v>
      </c>
      <c r="P9" s="170" t="s">
        <v>315</v>
      </c>
    </row>
    <row r="10" spans="3:16" ht="12.6" thickBot="1">
      <c r="C10" s="142" t="s">
        <v>316</v>
      </c>
      <c r="D10" s="151">
        <v>1</v>
      </c>
      <c r="E10" s="187" t="s">
        <v>298</v>
      </c>
      <c r="F10" s="187" t="s">
        <v>298</v>
      </c>
      <c r="G10" s="187" t="s">
        <v>298</v>
      </c>
      <c r="H10" s="187" t="s">
        <v>298</v>
      </c>
      <c r="I10" s="179" t="s">
        <v>282</v>
      </c>
    </row>
    <row r="11" spans="3:16" ht="12.6" thickBot="1">
      <c r="E11" s="146">
        <v>1</v>
      </c>
      <c r="F11" s="146" t="s">
        <v>317</v>
      </c>
      <c r="G11" s="146" t="s">
        <v>318</v>
      </c>
      <c r="H11" s="145">
        <v>4</v>
      </c>
      <c r="I11" s="145" t="s">
        <v>319</v>
      </c>
      <c r="J11" s="143"/>
    </row>
    <row r="12" spans="3:16" ht="18" customHeight="1" thickBot="1">
      <c r="O12" s="315" t="s">
        <v>521</v>
      </c>
    </row>
    <row r="13" spans="3:16" ht="18.600000000000001" customHeight="1">
      <c r="C13" s="387" t="s">
        <v>320</v>
      </c>
      <c r="D13" s="388"/>
      <c r="E13" s="388"/>
      <c r="F13" s="389"/>
      <c r="G13" s="165"/>
      <c r="H13" s="165"/>
      <c r="I13" s="165"/>
      <c r="J13" s="165"/>
      <c r="K13" s="165"/>
      <c r="O13" s="316" t="s">
        <v>522</v>
      </c>
    </row>
    <row r="14" spans="3:16" ht="14.1" customHeight="1" thickBot="1">
      <c r="C14" s="390"/>
      <c r="D14" s="391"/>
      <c r="E14" s="391"/>
      <c r="F14" s="392"/>
      <c r="G14" s="379"/>
      <c r="H14" s="379"/>
      <c r="I14" s="379"/>
      <c r="J14" s="379"/>
      <c r="K14" s="379"/>
      <c r="O14" s="314" t="s">
        <v>523</v>
      </c>
    </row>
    <row r="15" spans="3:16" s="148" customFormat="1" ht="39" customHeight="1" thickBot="1">
      <c r="C15" s="262" t="s">
        <v>321</v>
      </c>
      <c r="D15" s="263" t="s">
        <v>322</v>
      </c>
      <c r="E15" s="264" t="s">
        <v>323</v>
      </c>
      <c r="F15" s="265">
        <v>5</v>
      </c>
      <c r="G15" s="266">
        <v>5</v>
      </c>
      <c r="H15" s="267">
        <v>10</v>
      </c>
      <c r="I15" s="267">
        <v>15</v>
      </c>
      <c r="J15" s="268">
        <v>20</v>
      </c>
      <c r="K15" s="268">
        <v>25</v>
      </c>
    </row>
    <row r="16" spans="3:16" s="148" customFormat="1" ht="34.5" customHeight="1" thickBot="1">
      <c r="C16" s="262" t="s">
        <v>324</v>
      </c>
      <c r="D16" s="264" t="s">
        <v>325</v>
      </c>
      <c r="E16" s="264" t="s">
        <v>326</v>
      </c>
      <c r="F16" s="265">
        <v>4</v>
      </c>
      <c r="G16" s="269">
        <v>4</v>
      </c>
      <c r="H16" s="266">
        <v>8</v>
      </c>
      <c r="I16" s="267">
        <v>12</v>
      </c>
      <c r="J16" s="268">
        <v>16</v>
      </c>
      <c r="K16" s="268">
        <v>20</v>
      </c>
      <c r="O16" s="313"/>
    </row>
    <row r="17" spans="3:17" s="148" customFormat="1" ht="48.9" customHeight="1" thickBot="1">
      <c r="C17" s="262" t="s">
        <v>327</v>
      </c>
      <c r="D17" s="264" t="s">
        <v>328</v>
      </c>
      <c r="E17" s="264" t="s">
        <v>329</v>
      </c>
      <c r="F17" s="265">
        <v>3</v>
      </c>
      <c r="G17" s="269">
        <v>3</v>
      </c>
      <c r="H17" s="266">
        <v>6</v>
      </c>
      <c r="I17" s="266">
        <v>9</v>
      </c>
      <c r="J17" s="267">
        <v>12</v>
      </c>
      <c r="K17" s="267">
        <v>15</v>
      </c>
    </row>
    <row r="18" spans="3:17" s="148" customFormat="1" ht="34.799999999999997" thickBot="1">
      <c r="C18" s="262" t="s">
        <v>330</v>
      </c>
      <c r="D18" s="264" t="s">
        <v>331</v>
      </c>
      <c r="E18" s="264" t="s">
        <v>332</v>
      </c>
      <c r="F18" s="265">
        <v>2</v>
      </c>
      <c r="G18" s="269">
        <v>2</v>
      </c>
      <c r="H18" s="269">
        <v>4</v>
      </c>
      <c r="I18" s="266">
        <v>6</v>
      </c>
      <c r="J18" s="266">
        <v>8</v>
      </c>
      <c r="K18" s="267">
        <v>10</v>
      </c>
    </row>
    <row r="19" spans="3:17" s="148" customFormat="1" ht="46.2" thickBot="1">
      <c r="C19" s="263" t="s">
        <v>333</v>
      </c>
      <c r="D19" s="263" t="s">
        <v>334</v>
      </c>
      <c r="E19" s="263" t="s">
        <v>335</v>
      </c>
      <c r="F19" s="270">
        <v>1</v>
      </c>
      <c r="G19" s="271">
        <v>1</v>
      </c>
      <c r="H19" s="269">
        <v>2</v>
      </c>
      <c r="I19" s="269">
        <v>3</v>
      </c>
      <c r="J19" s="269">
        <v>4</v>
      </c>
      <c r="K19" s="266">
        <v>5</v>
      </c>
      <c r="M19" s="139"/>
    </row>
    <row r="20" spans="3:17" s="172" customFormat="1" ht="24.6" thickBot="1">
      <c r="C20" s="272"/>
      <c r="D20" s="273"/>
      <c r="E20" s="273"/>
      <c r="F20" s="272"/>
      <c r="G20" s="274" t="s">
        <v>280</v>
      </c>
      <c r="H20" s="275" t="s">
        <v>281</v>
      </c>
      <c r="I20" s="275" t="s">
        <v>282</v>
      </c>
      <c r="J20" s="275" t="s">
        <v>283</v>
      </c>
      <c r="K20" s="275" t="s">
        <v>284</v>
      </c>
      <c r="L20" s="139"/>
    </row>
    <row r="21" spans="3:17" ht="12.6" thickBot="1">
      <c r="C21" s="276"/>
      <c r="D21" s="276"/>
      <c r="E21" s="276"/>
      <c r="F21" s="276"/>
      <c r="G21" s="277">
        <v>1</v>
      </c>
      <c r="H21" s="277">
        <v>2</v>
      </c>
      <c r="I21" s="277">
        <v>3</v>
      </c>
      <c r="J21" s="277">
        <v>4</v>
      </c>
      <c r="K21" s="277">
        <v>5</v>
      </c>
      <c r="O21" s="166"/>
      <c r="P21" s="166"/>
    </row>
    <row r="22" spans="3:17">
      <c r="C22" s="155"/>
      <c r="D22" s="155"/>
      <c r="E22" s="155"/>
      <c r="F22" s="155"/>
      <c r="G22" s="155"/>
      <c r="H22" s="155"/>
      <c r="I22" s="155"/>
      <c r="J22" s="155"/>
      <c r="K22" s="155"/>
      <c r="L22" s="166"/>
    </row>
    <row r="23" spans="3:17">
      <c r="Q23" s="166"/>
    </row>
    <row r="26" spans="3:17">
      <c r="M26" s="167"/>
      <c r="N26" s="167"/>
    </row>
    <row r="27" spans="3:17">
      <c r="M27" s="167"/>
      <c r="N27" s="167"/>
    </row>
    <row r="28" spans="3:17">
      <c r="H28" s="167"/>
      <c r="I28" s="167"/>
      <c r="J28" s="167"/>
      <c r="K28" s="167"/>
      <c r="L28" s="167"/>
      <c r="M28" s="167"/>
      <c r="N28" s="167"/>
    </row>
    <row r="29" spans="3:17">
      <c r="H29" s="167"/>
      <c r="I29" s="167"/>
      <c r="J29" s="167"/>
      <c r="K29" s="167"/>
      <c r="L29" s="167"/>
      <c r="M29" s="167"/>
      <c r="N29" s="167"/>
    </row>
    <row r="30" spans="3:17">
      <c r="H30" s="167"/>
      <c r="I30" s="167"/>
      <c r="J30" s="167"/>
      <c r="K30" s="167"/>
      <c r="L30" s="167"/>
      <c r="M30" s="167"/>
      <c r="N30" s="167"/>
    </row>
    <row r="31" spans="3:17">
      <c r="H31" s="167"/>
      <c r="I31" s="167"/>
      <c r="J31" s="167"/>
      <c r="K31" s="167"/>
      <c r="L31" s="167"/>
      <c r="M31" s="167"/>
      <c r="N31" s="167"/>
    </row>
    <row r="32" spans="3:17">
      <c r="H32" s="167"/>
      <c r="I32" s="167"/>
      <c r="J32" s="167"/>
      <c r="K32" s="167"/>
      <c r="L32" s="167"/>
    </row>
    <row r="33" spans="8:12">
      <c r="H33" s="167"/>
      <c r="I33" s="167"/>
      <c r="J33" s="167"/>
      <c r="K33" s="167"/>
      <c r="L33" s="167"/>
    </row>
    <row r="54" spans="3:6">
      <c r="E54" s="139" t="s">
        <v>336</v>
      </c>
      <c r="F54" s="155" t="s">
        <v>337</v>
      </c>
    </row>
    <row r="55" spans="3:6">
      <c r="E55" s="139" t="s">
        <v>338</v>
      </c>
      <c r="F55" s="139" t="s">
        <v>339</v>
      </c>
    </row>
    <row r="56" spans="3:6">
      <c r="E56" s="139" t="s">
        <v>340</v>
      </c>
      <c r="F56" s="139" t="s">
        <v>341</v>
      </c>
    </row>
    <row r="57" spans="3:6">
      <c r="E57" s="139" t="s">
        <v>342</v>
      </c>
      <c r="F57" s="139" t="s">
        <v>291</v>
      </c>
    </row>
    <row r="58" spans="3:6">
      <c r="C58" s="386" t="s">
        <v>343</v>
      </c>
      <c r="D58" s="386"/>
      <c r="E58" s="386"/>
      <c r="F58" s="386"/>
    </row>
    <row r="59" spans="3:6">
      <c r="C59" s="386"/>
      <c r="D59" s="386"/>
      <c r="E59" s="386"/>
      <c r="F59" s="386"/>
    </row>
    <row r="60" spans="3:6">
      <c r="C60" s="386"/>
      <c r="D60" s="386"/>
      <c r="E60" s="386"/>
      <c r="F60" s="386"/>
    </row>
    <row r="61" spans="3:6">
      <c r="C61" s="386"/>
      <c r="D61" s="386"/>
      <c r="E61" s="386"/>
      <c r="F61" s="386"/>
    </row>
    <row r="62" spans="3:6">
      <c r="C62" s="386"/>
      <c r="D62" s="386"/>
      <c r="E62" s="386"/>
      <c r="F62" s="386"/>
    </row>
    <row r="63" spans="3:6">
      <c r="C63" s="386"/>
      <c r="D63" s="386"/>
      <c r="E63" s="386"/>
      <c r="F63" s="386"/>
    </row>
    <row r="64" spans="3:6">
      <c r="C64" s="386"/>
      <c r="D64" s="386"/>
      <c r="E64" s="386"/>
      <c r="F64" s="386"/>
    </row>
    <row r="65" spans="3:6">
      <c r="C65" s="386"/>
      <c r="D65" s="386"/>
      <c r="E65" s="386"/>
      <c r="F65" s="386"/>
    </row>
    <row r="66" spans="3:6">
      <c r="C66" s="386"/>
      <c r="D66" s="386"/>
      <c r="E66" s="386"/>
      <c r="F66" s="386"/>
    </row>
    <row r="67" spans="3:6">
      <c r="C67" s="386"/>
      <c r="D67" s="386"/>
      <c r="E67" s="386"/>
      <c r="F67" s="386"/>
    </row>
    <row r="68" spans="3:6">
      <c r="C68" s="386"/>
      <c r="D68" s="386"/>
      <c r="E68" s="386"/>
      <c r="F68" s="386"/>
    </row>
    <row r="71" spans="3:6" ht="13.2">
      <c r="C71" s="153" t="s">
        <v>344</v>
      </c>
    </row>
    <row r="72" spans="3:6" ht="13.2">
      <c r="C72" s="152"/>
    </row>
    <row r="73" spans="3:6">
      <c r="C73" s="154" t="s">
        <v>345</v>
      </c>
    </row>
    <row r="74" spans="3:6" ht="13.2">
      <c r="C74" s="152"/>
    </row>
    <row r="75" spans="3:6">
      <c r="C75" s="154" t="s">
        <v>346</v>
      </c>
    </row>
    <row r="76" spans="3:6" ht="13.2">
      <c r="C76" s="152"/>
    </row>
    <row r="77" spans="3:6">
      <c r="C77" s="154" t="s">
        <v>347</v>
      </c>
    </row>
  </sheetData>
  <mergeCells count="6">
    <mergeCell ref="G14:K14"/>
    <mergeCell ref="E4:I4"/>
    <mergeCell ref="C5:D5"/>
    <mergeCell ref="C1:I1"/>
    <mergeCell ref="C58:F68"/>
    <mergeCell ref="C13:F14"/>
  </mergeCells>
  <phoneticPr fontId="9" type="noConversion"/>
  <pageMargins left="0.7" right="0.7" top="0.75" bottom="0.75" header="0.3" footer="0.3"/>
  <pageSetup paperSize="9" orientation="portrait" r:id="rId1"/>
  <ignoredErrors>
    <ignoredError sqref="F11:G11 I11"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BCB8A-DCA4-4C4C-B5AE-EA83495F83DE}">
  <sheetPr codeName="Feuil3">
    <tabColor rgb="FF92D050"/>
  </sheetPr>
  <dimension ref="B3:P12"/>
  <sheetViews>
    <sheetView showGridLines="0" tabSelected="1" zoomScale="70" zoomScaleNormal="70" workbookViewId="0">
      <selection activeCell="I4" sqref="I4"/>
    </sheetView>
  </sheetViews>
  <sheetFormatPr defaultColWidth="10.88671875" defaultRowHeight="15.6"/>
  <cols>
    <col min="1" max="1" width="10.88671875" style="236"/>
    <col min="2" max="2" width="15" style="236" bestFit="1" customWidth="1"/>
    <col min="3" max="3" width="3" style="238" bestFit="1" customWidth="1"/>
    <col min="4" max="4" width="23.109375" style="236" customWidth="1"/>
    <col min="5" max="5" width="23" style="236" customWidth="1"/>
    <col min="6" max="6" width="21.6640625" style="236" customWidth="1"/>
    <col min="7" max="7" width="24.6640625" style="236" customWidth="1"/>
    <col min="8" max="8" width="22.88671875" style="236" customWidth="1"/>
    <col min="9" max="9" width="10.88671875" style="236"/>
    <col min="10" max="10" width="10.88671875" style="237"/>
    <col min="11" max="11" width="7.5546875" style="236" customWidth="1"/>
    <col min="12" max="16" width="23.44140625" style="236" customWidth="1"/>
    <col min="17" max="16384" width="10.88671875" style="236"/>
  </cols>
  <sheetData>
    <row r="3" spans="2:16" ht="16.5" customHeight="1">
      <c r="B3" s="398" t="s">
        <v>348</v>
      </c>
      <c r="C3" s="398"/>
      <c r="D3" s="398"/>
      <c r="E3" s="398"/>
      <c r="F3" s="398"/>
      <c r="G3" s="398"/>
      <c r="H3" s="398"/>
      <c r="I3" s="245"/>
      <c r="J3" s="398" t="s">
        <v>349</v>
      </c>
      <c r="K3" s="398"/>
      <c r="L3" s="398"/>
      <c r="M3" s="398"/>
      <c r="N3" s="398"/>
      <c r="O3" s="398"/>
      <c r="P3" s="398"/>
    </row>
    <row r="4" spans="2:16" ht="18.600000000000001" thickBot="1">
      <c r="B4" s="245"/>
      <c r="C4" s="246"/>
      <c r="D4" s="245"/>
      <c r="E4" s="245"/>
      <c r="F4" s="245"/>
      <c r="G4" s="245"/>
      <c r="H4" s="245"/>
      <c r="I4" s="245"/>
      <c r="J4" s="247"/>
      <c r="K4" s="245"/>
      <c r="L4" s="245"/>
      <c r="M4" s="245"/>
      <c r="N4" s="245"/>
      <c r="O4" s="245"/>
      <c r="P4" s="245"/>
    </row>
    <row r="5" spans="2:16" ht="16.2" thickBot="1">
      <c r="D5" s="393" t="s">
        <v>278</v>
      </c>
      <c r="E5" s="394"/>
      <c r="F5" s="394"/>
      <c r="G5" s="394"/>
      <c r="H5" s="395"/>
      <c r="K5" s="238"/>
      <c r="L5" s="393" t="s">
        <v>278</v>
      </c>
      <c r="M5" s="394"/>
      <c r="N5" s="394"/>
      <c r="O5" s="394"/>
      <c r="P5" s="395"/>
    </row>
    <row r="6" spans="2:16" ht="16.2" thickBot="1">
      <c r="B6" s="396" t="s">
        <v>279</v>
      </c>
      <c r="C6" s="397"/>
      <c r="D6" s="239" t="s">
        <v>280</v>
      </c>
      <c r="E6" s="240" t="s">
        <v>281</v>
      </c>
      <c r="F6" s="241" t="s">
        <v>282</v>
      </c>
      <c r="G6" s="242" t="s">
        <v>283</v>
      </c>
      <c r="H6" s="239" t="s">
        <v>284</v>
      </c>
      <c r="J6" s="396" t="s">
        <v>279</v>
      </c>
      <c r="K6" s="397"/>
      <c r="L6" s="239" t="s">
        <v>280</v>
      </c>
      <c r="M6" s="240" t="s">
        <v>281</v>
      </c>
      <c r="N6" s="241" t="s">
        <v>282</v>
      </c>
      <c r="O6" s="242" t="s">
        <v>283</v>
      </c>
      <c r="P6" s="239" t="s">
        <v>284</v>
      </c>
    </row>
    <row r="7" spans="2:16" s="341" customFormat="1" ht="140.4" customHeight="1">
      <c r="B7" s="334" t="s">
        <v>289</v>
      </c>
      <c r="C7" s="342">
        <v>5</v>
      </c>
      <c r="D7" s="343"/>
      <c r="E7" s="344"/>
      <c r="F7" s="344">
        <v>15</v>
      </c>
      <c r="G7" s="345"/>
      <c r="H7" s="346"/>
      <c r="J7" s="334" t="s">
        <v>289</v>
      </c>
      <c r="K7" s="342">
        <v>5</v>
      </c>
      <c r="L7" s="343"/>
      <c r="M7" s="344"/>
      <c r="N7" s="344"/>
      <c r="O7" s="345"/>
      <c r="P7" s="346"/>
    </row>
    <row r="8" spans="2:16" s="341" customFormat="1" ht="140.4" customHeight="1">
      <c r="B8" s="334" t="s">
        <v>297</v>
      </c>
      <c r="C8" s="335">
        <v>4</v>
      </c>
      <c r="D8" s="336"/>
      <c r="E8" s="337"/>
      <c r="F8" s="338"/>
      <c r="G8" s="339" t="s">
        <v>665</v>
      </c>
      <c r="H8" s="340" t="s">
        <v>664</v>
      </c>
      <c r="J8" s="334" t="s">
        <v>297</v>
      </c>
      <c r="K8" s="335">
        <v>4</v>
      </c>
      <c r="L8" s="336"/>
      <c r="M8" s="337"/>
      <c r="N8" s="338">
        <v>15</v>
      </c>
      <c r="O8" s="339"/>
      <c r="P8" s="340"/>
    </row>
    <row r="9" spans="2:16" s="341" customFormat="1" ht="140.4" customHeight="1">
      <c r="B9" s="334" t="s">
        <v>304</v>
      </c>
      <c r="C9" s="335">
        <v>3</v>
      </c>
      <c r="D9" s="336"/>
      <c r="E9" s="337"/>
      <c r="F9" s="337" t="s">
        <v>667</v>
      </c>
      <c r="G9" s="338" t="s">
        <v>668</v>
      </c>
      <c r="H9" s="347" t="s">
        <v>666</v>
      </c>
      <c r="J9" s="334" t="s">
        <v>304</v>
      </c>
      <c r="K9" s="335">
        <v>3</v>
      </c>
      <c r="L9" s="336"/>
      <c r="M9" s="337">
        <v>9</v>
      </c>
      <c r="N9" s="337" t="s">
        <v>672</v>
      </c>
      <c r="O9" s="338" t="s">
        <v>674</v>
      </c>
      <c r="P9" s="347" t="s">
        <v>663</v>
      </c>
    </row>
    <row r="10" spans="2:16" s="341" customFormat="1" ht="140.4" customHeight="1">
      <c r="B10" s="334" t="s">
        <v>310</v>
      </c>
      <c r="C10" s="335">
        <v>2</v>
      </c>
      <c r="D10" s="336"/>
      <c r="E10" s="336"/>
      <c r="F10" s="337">
        <v>6</v>
      </c>
      <c r="G10" s="337">
        <v>8</v>
      </c>
      <c r="H10" s="347">
        <v>10</v>
      </c>
      <c r="J10" s="334" t="s">
        <v>310</v>
      </c>
      <c r="K10" s="335">
        <v>2</v>
      </c>
      <c r="L10" s="336"/>
      <c r="M10" s="336" t="s">
        <v>670</v>
      </c>
      <c r="N10" s="337" t="s">
        <v>671</v>
      </c>
      <c r="O10" s="337" t="s">
        <v>673</v>
      </c>
      <c r="P10" s="347">
        <v>10</v>
      </c>
    </row>
    <row r="11" spans="2:16" s="341" customFormat="1" ht="126.6" customHeight="1" thickBot="1">
      <c r="B11" s="334" t="s">
        <v>316</v>
      </c>
      <c r="C11" s="348">
        <v>1</v>
      </c>
      <c r="D11" s="349"/>
      <c r="E11" s="349"/>
      <c r="F11" s="349"/>
      <c r="G11" s="349" t="s">
        <v>669</v>
      </c>
      <c r="H11" s="350">
        <v>5</v>
      </c>
      <c r="J11" s="334" t="s">
        <v>316</v>
      </c>
      <c r="K11" s="348">
        <v>1</v>
      </c>
      <c r="L11" s="349"/>
      <c r="M11" s="349"/>
      <c r="N11" s="349"/>
      <c r="O11" s="349" t="s">
        <v>675</v>
      </c>
      <c r="P11" s="350"/>
    </row>
    <row r="12" spans="2:16" ht="16.2" thickBot="1">
      <c r="D12" s="243">
        <v>1</v>
      </c>
      <c r="E12" s="243">
        <v>2</v>
      </c>
      <c r="F12" s="243">
        <v>3</v>
      </c>
      <c r="G12" s="244">
        <v>4</v>
      </c>
      <c r="H12" s="244">
        <v>5</v>
      </c>
      <c r="K12" s="238"/>
      <c r="L12" s="243">
        <v>1</v>
      </c>
      <c r="M12" s="243">
        <v>2</v>
      </c>
      <c r="N12" s="243">
        <v>3</v>
      </c>
      <c r="O12" s="244">
        <v>4</v>
      </c>
      <c r="P12" s="244">
        <v>5</v>
      </c>
    </row>
  </sheetData>
  <mergeCells count="6">
    <mergeCell ref="D5:H5"/>
    <mergeCell ref="B6:C6"/>
    <mergeCell ref="L5:P5"/>
    <mergeCell ref="J6:K6"/>
    <mergeCell ref="B3:H3"/>
    <mergeCell ref="J3:P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_xludf.clean">
                <anchor moveWithCells="1" sizeWithCells="1">
                  <from>
                    <xdr:col>15</xdr:col>
                    <xdr:colOff>175260</xdr:colOff>
                    <xdr:row>0</xdr:row>
                    <xdr:rowOff>190500</xdr:rowOff>
                  </from>
                  <to>
                    <xdr:col>17</xdr:col>
                    <xdr:colOff>106680</xdr:colOff>
                    <xdr:row>3</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R60"/>
  <sheetViews>
    <sheetView zoomScale="70" zoomScaleNormal="70" zoomScaleSheetLayoutView="100" workbookViewId="0">
      <pane xSplit="1" ySplit="5" topLeftCell="B6" activePane="bottomRight" state="frozen"/>
      <selection pane="topRight" activeCell="B1" sqref="B1"/>
      <selection pane="bottomLeft" activeCell="A6" sqref="A6"/>
      <selection pane="bottomRight" activeCell="A5" sqref="A5:XFD5"/>
    </sheetView>
  </sheetViews>
  <sheetFormatPr defaultColWidth="8.6640625" defaultRowHeight="13.8"/>
  <cols>
    <col min="1" max="1" width="4.5546875" style="113" customWidth="1"/>
    <col min="2" max="2" width="31.6640625" style="114" customWidth="1"/>
    <col min="3" max="3" width="26.33203125" style="115" customWidth="1"/>
    <col min="4" max="4" width="9.33203125" style="113" customWidth="1"/>
    <col min="5" max="5" width="11.44140625" style="113" customWidth="1"/>
    <col min="6" max="6" width="11.109375" style="113" customWidth="1"/>
    <col min="7" max="7" width="11.88671875" style="113" customWidth="1"/>
    <col min="8" max="8" width="49.5546875" style="113" customWidth="1"/>
    <col min="9" max="9" width="30.33203125" style="116" customWidth="1"/>
    <col min="10" max="10" width="24.44140625" style="116" customWidth="1"/>
    <col min="11" max="11" width="25.88671875" style="113" customWidth="1"/>
    <col min="12" max="12" width="50.5546875" style="113" hidden="1" customWidth="1"/>
    <col min="13" max="13" width="11.44140625" style="113" customWidth="1"/>
    <col min="14" max="14" width="8.5546875" style="113" customWidth="1"/>
    <col min="15" max="15" width="40.44140625" style="113" customWidth="1"/>
    <col min="16" max="16" width="2.5546875" style="112" customWidth="1"/>
    <col min="17" max="17" width="40.5546875" style="101" customWidth="1"/>
    <col min="18" max="18" width="20.33203125" style="113" customWidth="1"/>
    <col min="19" max="170" width="9.109375" style="101"/>
    <col min="171" max="171" width="23.109375" style="101" customWidth="1"/>
    <col min="172" max="172" width="26.44140625" style="101" customWidth="1"/>
    <col min="173" max="173" width="10.109375" style="101" customWidth="1"/>
    <col min="174" max="174" width="10.44140625" style="101" customWidth="1"/>
    <col min="175" max="175" width="10.5546875" style="101" customWidth="1"/>
    <col min="176" max="176" width="8.5546875" style="101" bestFit="1" customWidth="1"/>
    <col min="177" max="177" width="7.5546875" style="101" customWidth="1"/>
    <col min="178" max="178" width="11.88671875" style="101" customWidth="1"/>
    <col min="179" max="179" width="31.88671875" style="101" customWidth="1"/>
    <col min="180" max="180" width="3.44140625" style="101" customWidth="1"/>
    <col min="181" max="181" width="29.44140625" style="101" customWidth="1"/>
    <col min="182" max="182" width="14.5546875" style="101" customWidth="1"/>
    <col min="183" max="426" width="9.109375" style="101"/>
    <col min="427" max="427" width="23.109375" style="101" customWidth="1"/>
    <col min="428" max="428" width="26.44140625" style="101" customWidth="1"/>
    <col min="429" max="429" width="10.109375" style="101" customWidth="1"/>
    <col min="430" max="430" width="10.44140625" style="101" customWidth="1"/>
    <col min="431" max="431" width="10.5546875" style="101" customWidth="1"/>
    <col min="432" max="432" width="8.5546875" style="101" bestFit="1" customWidth="1"/>
    <col min="433" max="433" width="7.5546875" style="101" customWidth="1"/>
    <col min="434" max="434" width="11.88671875" style="101" customWidth="1"/>
    <col min="435" max="435" width="31.88671875" style="101" customWidth="1"/>
    <col min="436" max="436" width="3.44140625" style="101" customWidth="1"/>
    <col min="437" max="437" width="29.44140625" style="101" customWidth="1"/>
    <col min="438" max="438" width="14.5546875" style="101" customWidth="1"/>
    <col min="439" max="682" width="9.109375" style="101"/>
    <col min="683" max="683" width="23.109375" style="101" customWidth="1"/>
    <col min="684" max="684" width="26.44140625" style="101" customWidth="1"/>
    <col min="685" max="685" width="10.109375" style="101" customWidth="1"/>
    <col min="686" max="686" width="10.44140625" style="101" customWidth="1"/>
    <col min="687" max="687" width="10.5546875" style="101" customWidth="1"/>
    <col min="688" max="688" width="8.5546875" style="101" bestFit="1" customWidth="1"/>
    <col min="689" max="689" width="7.5546875" style="101" customWidth="1"/>
    <col min="690" max="690" width="11.88671875" style="101" customWidth="1"/>
    <col min="691" max="691" width="31.88671875" style="101" customWidth="1"/>
    <col min="692" max="692" width="3.44140625" style="101" customWidth="1"/>
    <col min="693" max="693" width="29.44140625" style="101" customWidth="1"/>
    <col min="694" max="694" width="14.5546875" style="101" customWidth="1"/>
    <col min="695" max="938" width="9.109375" style="101"/>
    <col min="939" max="939" width="23.109375" style="101" customWidth="1"/>
    <col min="940" max="940" width="26.44140625" style="101" customWidth="1"/>
    <col min="941" max="941" width="10.109375" style="101" customWidth="1"/>
    <col min="942" max="942" width="10.44140625" style="101" customWidth="1"/>
    <col min="943" max="943" width="10.5546875" style="101" customWidth="1"/>
    <col min="944" max="944" width="8.5546875" style="101" bestFit="1" customWidth="1"/>
    <col min="945" max="945" width="7.5546875" style="101" customWidth="1"/>
    <col min="946" max="946" width="11.88671875" style="101" customWidth="1"/>
    <col min="947" max="947" width="31.88671875" style="101" customWidth="1"/>
    <col min="948" max="948" width="3.44140625" style="101" customWidth="1"/>
    <col min="949" max="949" width="29.44140625" style="101" customWidth="1"/>
    <col min="950" max="950" width="14.5546875" style="101" customWidth="1"/>
    <col min="951" max="1194" width="9.109375" style="101"/>
    <col min="1195" max="1195" width="23.109375" style="101" customWidth="1"/>
    <col min="1196" max="1196" width="26.44140625" style="101" customWidth="1"/>
    <col min="1197" max="1197" width="10.109375" style="101" customWidth="1"/>
    <col min="1198" max="1198" width="10.44140625" style="101" customWidth="1"/>
    <col min="1199" max="1199" width="10.5546875" style="101" customWidth="1"/>
    <col min="1200" max="1200" width="8.5546875" style="101" bestFit="1" customWidth="1"/>
    <col min="1201" max="1201" width="7.5546875" style="101" customWidth="1"/>
    <col min="1202" max="1202" width="11.88671875" style="101" customWidth="1"/>
    <col min="1203" max="1203" width="31.88671875" style="101" customWidth="1"/>
    <col min="1204" max="1204" width="3.44140625" style="101" customWidth="1"/>
    <col min="1205" max="1205" width="29.44140625" style="101" customWidth="1"/>
    <col min="1206" max="1206" width="14.5546875" style="101" customWidth="1"/>
    <col min="1207" max="1450" width="9.109375" style="101"/>
    <col min="1451" max="1451" width="23.109375" style="101" customWidth="1"/>
    <col min="1452" max="1452" width="26.44140625" style="101" customWidth="1"/>
    <col min="1453" max="1453" width="10.109375" style="101" customWidth="1"/>
    <col min="1454" max="1454" width="10.44140625" style="101" customWidth="1"/>
    <col min="1455" max="1455" width="10.5546875" style="101" customWidth="1"/>
    <col min="1456" max="1456" width="8.5546875" style="101" bestFit="1" customWidth="1"/>
    <col min="1457" max="1457" width="7.5546875" style="101" customWidth="1"/>
    <col min="1458" max="1458" width="11.88671875" style="101" customWidth="1"/>
    <col min="1459" max="1459" width="31.88671875" style="101" customWidth="1"/>
    <col min="1460" max="1460" width="3.44140625" style="101" customWidth="1"/>
    <col min="1461" max="1461" width="29.44140625" style="101" customWidth="1"/>
    <col min="1462" max="1462" width="14.5546875" style="101" customWidth="1"/>
    <col min="1463" max="1706" width="9.109375" style="101"/>
    <col min="1707" max="1707" width="23.109375" style="101" customWidth="1"/>
    <col min="1708" max="1708" width="26.44140625" style="101" customWidth="1"/>
    <col min="1709" max="1709" width="10.109375" style="101" customWidth="1"/>
    <col min="1710" max="1710" width="10.44140625" style="101" customWidth="1"/>
    <col min="1711" max="1711" width="10.5546875" style="101" customWidth="1"/>
    <col min="1712" max="1712" width="8.5546875" style="101" bestFit="1" customWidth="1"/>
    <col min="1713" max="1713" width="7.5546875" style="101" customWidth="1"/>
    <col min="1714" max="1714" width="11.88671875" style="101" customWidth="1"/>
    <col min="1715" max="1715" width="31.88671875" style="101" customWidth="1"/>
    <col min="1716" max="1716" width="3.44140625" style="101" customWidth="1"/>
    <col min="1717" max="1717" width="29.44140625" style="101" customWidth="1"/>
    <col min="1718" max="1718" width="14.5546875" style="101" customWidth="1"/>
    <col min="1719" max="1962" width="9.109375" style="101"/>
    <col min="1963" max="1963" width="23.109375" style="101" customWidth="1"/>
    <col min="1964" max="1964" width="26.44140625" style="101" customWidth="1"/>
    <col min="1965" max="1965" width="10.109375" style="101" customWidth="1"/>
    <col min="1966" max="1966" width="10.44140625" style="101" customWidth="1"/>
    <col min="1967" max="1967" width="10.5546875" style="101" customWidth="1"/>
    <col min="1968" max="1968" width="8.5546875" style="101" bestFit="1" customWidth="1"/>
    <col min="1969" max="1969" width="7.5546875" style="101" customWidth="1"/>
    <col min="1970" max="1970" width="11.88671875" style="101" customWidth="1"/>
    <col min="1971" max="1971" width="31.88671875" style="101" customWidth="1"/>
    <col min="1972" max="1972" width="3.44140625" style="101" customWidth="1"/>
    <col min="1973" max="1973" width="29.44140625" style="101" customWidth="1"/>
    <col min="1974" max="1974" width="14.5546875" style="101" customWidth="1"/>
    <col min="1975" max="2218" width="9.109375" style="101"/>
    <col min="2219" max="2219" width="23.109375" style="101" customWidth="1"/>
    <col min="2220" max="2220" width="26.44140625" style="101" customWidth="1"/>
    <col min="2221" max="2221" width="10.109375" style="101" customWidth="1"/>
    <col min="2222" max="2222" width="10.44140625" style="101" customWidth="1"/>
    <col min="2223" max="2223" width="10.5546875" style="101" customWidth="1"/>
    <col min="2224" max="2224" width="8.5546875" style="101" bestFit="1" customWidth="1"/>
    <col min="2225" max="2225" width="7.5546875" style="101" customWidth="1"/>
    <col min="2226" max="2226" width="11.88671875" style="101" customWidth="1"/>
    <col min="2227" max="2227" width="31.88671875" style="101" customWidth="1"/>
    <col min="2228" max="2228" width="3.44140625" style="101" customWidth="1"/>
    <col min="2229" max="2229" width="29.44140625" style="101" customWidth="1"/>
    <col min="2230" max="2230" width="14.5546875" style="101" customWidth="1"/>
    <col min="2231" max="2474" width="9.109375" style="101"/>
    <col min="2475" max="2475" width="23.109375" style="101" customWidth="1"/>
    <col min="2476" max="2476" width="26.44140625" style="101" customWidth="1"/>
    <col min="2477" max="2477" width="10.109375" style="101" customWidth="1"/>
    <col min="2478" max="2478" width="10.44140625" style="101" customWidth="1"/>
    <col min="2479" max="2479" width="10.5546875" style="101" customWidth="1"/>
    <col min="2480" max="2480" width="8.5546875" style="101" bestFit="1" customWidth="1"/>
    <col min="2481" max="2481" width="7.5546875" style="101" customWidth="1"/>
    <col min="2482" max="2482" width="11.88671875" style="101" customWidth="1"/>
    <col min="2483" max="2483" width="31.88671875" style="101" customWidth="1"/>
    <col min="2484" max="2484" width="3.44140625" style="101" customWidth="1"/>
    <col min="2485" max="2485" width="29.44140625" style="101" customWidth="1"/>
    <col min="2486" max="2486" width="14.5546875" style="101" customWidth="1"/>
    <col min="2487" max="2730" width="9.109375" style="101"/>
    <col min="2731" max="2731" width="23.109375" style="101" customWidth="1"/>
    <col min="2732" max="2732" width="26.44140625" style="101" customWidth="1"/>
    <col min="2733" max="2733" width="10.109375" style="101" customWidth="1"/>
    <col min="2734" max="2734" width="10.44140625" style="101" customWidth="1"/>
    <col min="2735" max="2735" width="10.5546875" style="101" customWidth="1"/>
    <col min="2736" max="2736" width="8.5546875" style="101" bestFit="1" customWidth="1"/>
    <col min="2737" max="2737" width="7.5546875" style="101" customWidth="1"/>
    <col min="2738" max="2738" width="11.88671875" style="101" customWidth="1"/>
    <col min="2739" max="2739" width="31.88671875" style="101" customWidth="1"/>
    <col min="2740" max="2740" width="3.44140625" style="101" customWidth="1"/>
    <col min="2741" max="2741" width="29.44140625" style="101" customWidth="1"/>
    <col min="2742" max="2742" width="14.5546875" style="101" customWidth="1"/>
    <col min="2743" max="2986" width="9.109375" style="101"/>
    <col min="2987" max="2987" width="23.109375" style="101" customWidth="1"/>
    <col min="2988" max="2988" width="26.44140625" style="101" customWidth="1"/>
    <col min="2989" max="2989" width="10.109375" style="101" customWidth="1"/>
    <col min="2990" max="2990" width="10.44140625" style="101" customWidth="1"/>
    <col min="2991" max="2991" width="10.5546875" style="101" customWidth="1"/>
    <col min="2992" max="2992" width="8.5546875" style="101" bestFit="1" customWidth="1"/>
    <col min="2993" max="2993" width="7.5546875" style="101" customWidth="1"/>
    <col min="2994" max="2994" width="11.88671875" style="101" customWidth="1"/>
    <col min="2995" max="2995" width="31.88671875" style="101" customWidth="1"/>
    <col min="2996" max="2996" width="3.44140625" style="101" customWidth="1"/>
    <col min="2997" max="2997" width="29.44140625" style="101" customWidth="1"/>
    <col min="2998" max="2998" width="14.5546875" style="101" customWidth="1"/>
    <col min="2999" max="3242" width="9.109375" style="101"/>
    <col min="3243" max="3243" width="23.109375" style="101" customWidth="1"/>
    <col min="3244" max="3244" width="26.44140625" style="101" customWidth="1"/>
    <col min="3245" max="3245" width="10.109375" style="101" customWidth="1"/>
    <col min="3246" max="3246" width="10.44140625" style="101" customWidth="1"/>
    <col min="3247" max="3247" width="10.5546875" style="101" customWidth="1"/>
    <col min="3248" max="3248" width="8.5546875" style="101" bestFit="1" customWidth="1"/>
    <col min="3249" max="3249" width="7.5546875" style="101" customWidth="1"/>
    <col min="3250" max="3250" width="11.88671875" style="101" customWidth="1"/>
    <col min="3251" max="3251" width="31.88671875" style="101" customWidth="1"/>
    <col min="3252" max="3252" width="3.44140625" style="101" customWidth="1"/>
    <col min="3253" max="3253" width="29.44140625" style="101" customWidth="1"/>
    <col min="3254" max="3254" width="14.5546875" style="101" customWidth="1"/>
    <col min="3255" max="3498" width="9.109375" style="101"/>
    <col min="3499" max="3499" width="23.109375" style="101" customWidth="1"/>
    <col min="3500" max="3500" width="26.44140625" style="101" customWidth="1"/>
    <col min="3501" max="3501" width="10.109375" style="101" customWidth="1"/>
    <col min="3502" max="3502" width="10.44140625" style="101" customWidth="1"/>
    <col min="3503" max="3503" width="10.5546875" style="101" customWidth="1"/>
    <col min="3504" max="3504" width="8.5546875" style="101" bestFit="1" customWidth="1"/>
    <col min="3505" max="3505" width="7.5546875" style="101" customWidth="1"/>
    <col min="3506" max="3506" width="11.88671875" style="101" customWidth="1"/>
    <col min="3507" max="3507" width="31.88671875" style="101" customWidth="1"/>
    <col min="3508" max="3508" width="3.44140625" style="101" customWidth="1"/>
    <col min="3509" max="3509" width="29.44140625" style="101" customWidth="1"/>
    <col min="3510" max="3510" width="14.5546875" style="101" customWidth="1"/>
    <col min="3511" max="3754" width="9.109375" style="101"/>
    <col min="3755" max="3755" width="23.109375" style="101" customWidth="1"/>
    <col min="3756" max="3756" width="26.44140625" style="101" customWidth="1"/>
    <col min="3757" max="3757" width="10.109375" style="101" customWidth="1"/>
    <col min="3758" max="3758" width="10.44140625" style="101" customWidth="1"/>
    <col min="3759" max="3759" width="10.5546875" style="101" customWidth="1"/>
    <col min="3760" max="3760" width="8.5546875" style="101" bestFit="1" customWidth="1"/>
    <col min="3761" max="3761" width="7.5546875" style="101" customWidth="1"/>
    <col min="3762" max="3762" width="11.88671875" style="101" customWidth="1"/>
    <col min="3763" max="3763" width="31.88671875" style="101" customWidth="1"/>
    <col min="3764" max="3764" width="3.44140625" style="101" customWidth="1"/>
    <col min="3765" max="3765" width="29.44140625" style="101" customWidth="1"/>
    <col min="3766" max="3766" width="14.5546875" style="101" customWidth="1"/>
    <col min="3767" max="4010" width="9.109375" style="101"/>
    <col min="4011" max="4011" width="23.109375" style="101" customWidth="1"/>
    <col min="4012" max="4012" width="26.44140625" style="101" customWidth="1"/>
    <col min="4013" max="4013" width="10.109375" style="101" customWidth="1"/>
    <col min="4014" max="4014" width="10.44140625" style="101" customWidth="1"/>
    <col min="4015" max="4015" width="10.5546875" style="101" customWidth="1"/>
    <col min="4016" max="4016" width="8.5546875" style="101" bestFit="1" customWidth="1"/>
    <col min="4017" max="4017" width="7.5546875" style="101" customWidth="1"/>
    <col min="4018" max="4018" width="11.88671875" style="101" customWidth="1"/>
    <col min="4019" max="4019" width="31.88671875" style="101" customWidth="1"/>
    <col min="4020" max="4020" width="3.44140625" style="101" customWidth="1"/>
    <col min="4021" max="4021" width="29.44140625" style="101" customWidth="1"/>
    <col min="4022" max="4022" width="14.5546875" style="101" customWidth="1"/>
    <col min="4023" max="4266" width="9.109375" style="101"/>
    <col min="4267" max="4267" width="23.109375" style="101" customWidth="1"/>
    <col min="4268" max="4268" width="26.44140625" style="101" customWidth="1"/>
    <col min="4269" max="4269" width="10.109375" style="101" customWidth="1"/>
    <col min="4270" max="4270" width="10.44140625" style="101" customWidth="1"/>
    <col min="4271" max="4271" width="10.5546875" style="101" customWidth="1"/>
    <col min="4272" max="4272" width="8.5546875" style="101" bestFit="1" customWidth="1"/>
    <col min="4273" max="4273" width="7.5546875" style="101" customWidth="1"/>
    <col min="4274" max="4274" width="11.88671875" style="101" customWidth="1"/>
    <col min="4275" max="4275" width="31.88671875" style="101" customWidth="1"/>
    <col min="4276" max="4276" width="3.44140625" style="101" customWidth="1"/>
    <col min="4277" max="4277" width="29.44140625" style="101" customWidth="1"/>
    <col min="4278" max="4278" width="14.5546875" style="101" customWidth="1"/>
    <col min="4279" max="4522" width="9.109375" style="101"/>
    <col min="4523" max="4523" width="23.109375" style="101" customWidth="1"/>
    <col min="4524" max="4524" width="26.44140625" style="101" customWidth="1"/>
    <col min="4525" max="4525" width="10.109375" style="101" customWidth="1"/>
    <col min="4526" max="4526" width="10.44140625" style="101" customWidth="1"/>
    <col min="4527" max="4527" width="10.5546875" style="101" customWidth="1"/>
    <col min="4528" max="4528" width="8.5546875" style="101" bestFit="1" customWidth="1"/>
    <col min="4529" max="4529" width="7.5546875" style="101" customWidth="1"/>
    <col min="4530" max="4530" width="11.88671875" style="101" customWidth="1"/>
    <col min="4531" max="4531" width="31.88671875" style="101" customWidth="1"/>
    <col min="4532" max="4532" width="3.44140625" style="101" customWidth="1"/>
    <col min="4533" max="4533" width="29.44140625" style="101" customWidth="1"/>
    <col min="4534" max="4534" width="14.5546875" style="101" customWidth="1"/>
    <col min="4535" max="4778" width="9.109375" style="101"/>
    <col min="4779" max="4779" width="23.109375" style="101" customWidth="1"/>
    <col min="4780" max="4780" width="26.44140625" style="101" customWidth="1"/>
    <col min="4781" max="4781" width="10.109375" style="101" customWidth="1"/>
    <col min="4782" max="4782" width="10.44140625" style="101" customWidth="1"/>
    <col min="4783" max="4783" width="10.5546875" style="101" customWidth="1"/>
    <col min="4784" max="4784" width="8.5546875" style="101" bestFit="1" customWidth="1"/>
    <col min="4785" max="4785" width="7.5546875" style="101" customWidth="1"/>
    <col min="4786" max="4786" width="11.88671875" style="101" customWidth="1"/>
    <col min="4787" max="4787" width="31.88671875" style="101" customWidth="1"/>
    <col min="4788" max="4788" width="3.44140625" style="101" customWidth="1"/>
    <col min="4789" max="4789" width="29.44140625" style="101" customWidth="1"/>
    <col min="4790" max="4790" width="14.5546875" style="101" customWidth="1"/>
    <col min="4791" max="5034" width="9.109375" style="101"/>
    <col min="5035" max="5035" width="23.109375" style="101" customWidth="1"/>
    <col min="5036" max="5036" width="26.44140625" style="101" customWidth="1"/>
    <col min="5037" max="5037" width="10.109375" style="101" customWidth="1"/>
    <col min="5038" max="5038" width="10.44140625" style="101" customWidth="1"/>
    <col min="5039" max="5039" width="10.5546875" style="101" customWidth="1"/>
    <col min="5040" max="5040" width="8.5546875" style="101" bestFit="1" customWidth="1"/>
    <col min="5041" max="5041" width="7.5546875" style="101" customWidth="1"/>
    <col min="5042" max="5042" width="11.88671875" style="101" customWidth="1"/>
    <col min="5043" max="5043" width="31.88671875" style="101" customWidth="1"/>
    <col min="5044" max="5044" width="3.44140625" style="101" customWidth="1"/>
    <col min="5045" max="5045" width="29.44140625" style="101" customWidth="1"/>
    <col min="5046" max="5046" width="14.5546875" style="101" customWidth="1"/>
    <col min="5047" max="5290" width="9.109375" style="101"/>
    <col min="5291" max="5291" width="23.109375" style="101" customWidth="1"/>
    <col min="5292" max="5292" width="26.44140625" style="101" customWidth="1"/>
    <col min="5293" max="5293" width="10.109375" style="101" customWidth="1"/>
    <col min="5294" max="5294" width="10.44140625" style="101" customWidth="1"/>
    <col min="5295" max="5295" width="10.5546875" style="101" customWidth="1"/>
    <col min="5296" max="5296" width="8.5546875" style="101" bestFit="1" customWidth="1"/>
    <col min="5297" max="5297" width="7.5546875" style="101" customWidth="1"/>
    <col min="5298" max="5298" width="11.88671875" style="101" customWidth="1"/>
    <col min="5299" max="5299" width="31.88671875" style="101" customWidth="1"/>
    <col min="5300" max="5300" width="3.44140625" style="101" customWidth="1"/>
    <col min="5301" max="5301" width="29.44140625" style="101" customWidth="1"/>
    <col min="5302" max="5302" width="14.5546875" style="101" customWidth="1"/>
    <col min="5303" max="5546" width="9.109375" style="101"/>
    <col min="5547" max="5547" width="23.109375" style="101" customWidth="1"/>
    <col min="5548" max="5548" width="26.44140625" style="101" customWidth="1"/>
    <col min="5549" max="5549" width="10.109375" style="101" customWidth="1"/>
    <col min="5550" max="5550" width="10.44140625" style="101" customWidth="1"/>
    <col min="5551" max="5551" width="10.5546875" style="101" customWidth="1"/>
    <col min="5552" max="5552" width="8.5546875" style="101" bestFit="1" customWidth="1"/>
    <col min="5553" max="5553" width="7.5546875" style="101" customWidth="1"/>
    <col min="5554" max="5554" width="11.88671875" style="101" customWidth="1"/>
    <col min="5555" max="5555" width="31.88671875" style="101" customWidth="1"/>
    <col min="5556" max="5556" width="3.44140625" style="101" customWidth="1"/>
    <col min="5557" max="5557" width="29.44140625" style="101" customWidth="1"/>
    <col min="5558" max="5558" width="14.5546875" style="101" customWidth="1"/>
    <col min="5559" max="5802" width="9.109375" style="101"/>
    <col min="5803" max="5803" width="23.109375" style="101" customWidth="1"/>
    <col min="5804" max="5804" width="26.44140625" style="101" customWidth="1"/>
    <col min="5805" max="5805" width="10.109375" style="101" customWidth="1"/>
    <col min="5806" max="5806" width="10.44140625" style="101" customWidth="1"/>
    <col min="5807" max="5807" width="10.5546875" style="101" customWidth="1"/>
    <col min="5808" max="5808" width="8.5546875" style="101" bestFit="1" customWidth="1"/>
    <col min="5809" max="5809" width="7.5546875" style="101" customWidth="1"/>
    <col min="5810" max="5810" width="11.88671875" style="101" customWidth="1"/>
    <col min="5811" max="5811" width="31.88671875" style="101" customWidth="1"/>
    <col min="5812" max="5812" width="3.44140625" style="101" customWidth="1"/>
    <col min="5813" max="5813" width="29.44140625" style="101" customWidth="1"/>
    <col min="5814" max="5814" width="14.5546875" style="101" customWidth="1"/>
    <col min="5815" max="6058" width="9.109375" style="101"/>
    <col min="6059" max="6059" width="23.109375" style="101" customWidth="1"/>
    <col min="6060" max="6060" width="26.44140625" style="101" customWidth="1"/>
    <col min="6061" max="6061" width="10.109375" style="101" customWidth="1"/>
    <col min="6062" max="6062" width="10.44140625" style="101" customWidth="1"/>
    <col min="6063" max="6063" width="10.5546875" style="101" customWidth="1"/>
    <col min="6064" max="6064" width="8.5546875" style="101" bestFit="1" customWidth="1"/>
    <col min="6065" max="6065" width="7.5546875" style="101" customWidth="1"/>
    <col min="6066" max="6066" width="11.88671875" style="101" customWidth="1"/>
    <col min="6067" max="6067" width="31.88671875" style="101" customWidth="1"/>
    <col min="6068" max="6068" width="3.44140625" style="101" customWidth="1"/>
    <col min="6069" max="6069" width="29.44140625" style="101" customWidth="1"/>
    <col min="6070" max="6070" width="14.5546875" style="101" customWidth="1"/>
    <col min="6071" max="6314" width="9.109375" style="101"/>
    <col min="6315" max="6315" width="23.109375" style="101" customWidth="1"/>
    <col min="6316" max="6316" width="26.44140625" style="101" customWidth="1"/>
    <col min="6317" max="6317" width="10.109375" style="101" customWidth="1"/>
    <col min="6318" max="6318" width="10.44140625" style="101" customWidth="1"/>
    <col min="6319" max="6319" width="10.5546875" style="101" customWidth="1"/>
    <col min="6320" max="6320" width="8.5546875" style="101" bestFit="1" customWidth="1"/>
    <col min="6321" max="6321" width="7.5546875" style="101" customWidth="1"/>
    <col min="6322" max="6322" width="11.88671875" style="101" customWidth="1"/>
    <col min="6323" max="6323" width="31.88671875" style="101" customWidth="1"/>
    <col min="6324" max="6324" width="3.44140625" style="101" customWidth="1"/>
    <col min="6325" max="6325" width="29.44140625" style="101" customWidth="1"/>
    <col min="6326" max="6326" width="14.5546875" style="101" customWidth="1"/>
    <col min="6327" max="6570" width="9.109375" style="101"/>
    <col min="6571" max="6571" width="23.109375" style="101" customWidth="1"/>
    <col min="6572" max="6572" width="26.44140625" style="101" customWidth="1"/>
    <col min="6573" max="6573" width="10.109375" style="101" customWidth="1"/>
    <col min="6574" max="6574" width="10.44140625" style="101" customWidth="1"/>
    <col min="6575" max="6575" width="10.5546875" style="101" customWidth="1"/>
    <col min="6576" max="6576" width="8.5546875" style="101" bestFit="1" customWidth="1"/>
    <col min="6577" max="6577" width="7.5546875" style="101" customWidth="1"/>
    <col min="6578" max="6578" width="11.88671875" style="101" customWidth="1"/>
    <col min="6579" max="6579" width="31.88671875" style="101" customWidth="1"/>
    <col min="6580" max="6580" width="3.44140625" style="101" customWidth="1"/>
    <col min="6581" max="6581" width="29.44140625" style="101" customWidth="1"/>
    <col min="6582" max="6582" width="14.5546875" style="101" customWidth="1"/>
    <col min="6583" max="6826" width="9.109375" style="101"/>
    <col min="6827" max="6827" width="23.109375" style="101" customWidth="1"/>
    <col min="6828" max="6828" width="26.44140625" style="101" customWidth="1"/>
    <col min="6829" max="6829" width="10.109375" style="101" customWidth="1"/>
    <col min="6830" max="6830" width="10.44140625" style="101" customWidth="1"/>
    <col min="6831" max="6831" width="10.5546875" style="101" customWidth="1"/>
    <col min="6832" max="6832" width="8.5546875" style="101" bestFit="1" customWidth="1"/>
    <col min="6833" max="6833" width="7.5546875" style="101" customWidth="1"/>
    <col min="6834" max="6834" width="11.88671875" style="101" customWidth="1"/>
    <col min="6835" max="6835" width="31.88671875" style="101" customWidth="1"/>
    <col min="6836" max="6836" width="3.44140625" style="101" customWidth="1"/>
    <col min="6837" max="6837" width="29.44140625" style="101" customWidth="1"/>
    <col min="6838" max="6838" width="14.5546875" style="101" customWidth="1"/>
    <col min="6839" max="7082" width="9.109375" style="101"/>
    <col min="7083" max="7083" width="23.109375" style="101" customWidth="1"/>
    <col min="7084" max="7084" width="26.44140625" style="101" customWidth="1"/>
    <col min="7085" max="7085" width="10.109375" style="101" customWidth="1"/>
    <col min="7086" max="7086" width="10.44140625" style="101" customWidth="1"/>
    <col min="7087" max="7087" width="10.5546875" style="101" customWidth="1"/>
    <col min="7088" max="7088" width="8.5546875" style="101" bestFit="1" customWidth="1"/>
    <col min="7089" max="7089" width="7.5546875" style="101" customWidth="1"/>
    <col min="7090" max="7090" width="11.88671875" style="101" customWidth="1"/>
    <col min="7091" max="7091" width="31.88671875" style="101" customWidth="1"/>
    <col min="7092" max="7092" width="3.44140625" style="101" customWidth="1"/>
    <col min="7093" max="7093" width="29.44140625" style="101" customWidth="1"/>
    <col min="7094" max="7094" width="14.5546875" style="101" customWidth="1"/>
    <col min="7095" max="7338" width="9.109375" style="101"/>
    <col min="7339" max="7339" width="23.109375" style="101" customWidth="1"/>
    <col min="7340" max="7340" width="26.44140625" style="101" customWidth="1"/>
    <col min="7341" max="7341" width="10.109375" style="101" customWidth="1"/>
    <col min="7342" max="7342" width="10.44140625" style="101" customWidth="1"/>
    <col min="7343" max="7343" width="10.5546875" style="101" customWidth="1"/>
    <col min="7344" max="7344" width="8.5546875" style="101" bestFit="1" customWidth="1"/>
    <col min="7345" max="7345" width="7.5546875" style="101" customWidth="1"/>
    <col min="7346" max="7346" width="11.88671875" style="101" customWidth="1"/>
    <col min="7347" max="7347" width="31.88671875" style="101" customWidth="1"/>
    <col min="7348" max="7348" width="3.44140625" style="101" customWidth="1"/>
    <col min="7349" max="7349" width="29.44140625" style="101" customWidth="1"/>
    <col min="7350" max="7350" width="14.5546875" style="101" customWidth="1"/>
    <col min="7351" max="7594" width="9.109375" style="101"/>
    <col min="7595" max="7595" width="23.109375" style="101" customWidth="1"/>
    <col min="7596" max="7596" width="26.44140625" style="101" customWidth="1"/>
    <col min="7597" max="7597" width="10.109375" style="101" customWidth="1"/>
    <col min="7598" max="7598" width="10.44140625" style="101" customWidth="1"/>
    <col min="7599" max="7599" width="10.5546875" style="101" customWidth="1"/>
    <col min="7600" max="7600" width="8.5546875" style="101" bestFit="1" customWidth="1"/>
    <col min="7601" max="7601" width="7.5546875" style="101" customWidth="1"/>
    <col min="7602" max="7602" width="11.88671875" style="101" customWidth="1"/>
    <col min="7603" max="7603" width="31.88671875" style="101" customWidth="1"/>
    <col min="7604" max="7604" width="3.44140625" style="101" customWidth="1"/>
    <col min="7605" max="7605" width="29.44140625" style="101" customWidth="1"/>
    <col min="7606" max="7606" width="14.5546875" style="101" customWidth="1"/>
    <col min="7607" max="7850" width="9.109375" style="101"/>
    <col min="7851" max="7851" width="23.109375" style="101" customWidth="1"/>
    <col min="7852" max="7852" width="26.44140625" style="101" customWidth="1"/>
    <col min="7853" max="7853" width="10.109375" style="101" customWidth="1"/>
    <col min="7854" max="7854" width="10.44140625" style="101" customWidth="1"/>
    <col min="7855" max="7855" width="10.5546875" style="101" customWidth="1"/>
    <col min="7856" max="7856" width="8.5546875" style="101" bestFit="1" customWidth="1"/>
    <col min="7857" max="7857" width="7.5546875" style="101" customWidth="1"/>
    <col min="7858" max="7858" width="11.88671875" style="101" customWidth="1"/>
    <col min="7859" max="7859" width="31.88671875" style="101" customWidth="1"/>
    <col min="7860" max="7860" width="3.44140625" style="101" customWidth="1"/>
    <col min="7861" max="7861" width="29.44140625" style="101" customWidth="1"/>
    <col min="7862" max="7862" width="14.5546875" style="101" customWidth="1"/>
    <col min="7863" max="8106" width="9.109375" style="101"/>
    <col min="8107" max="8107" width="23.109375" style="101" customWidth="1"/>
    <col min="8108" max="8108" width="26.44140625" style="101" customWidth="1"/>
    <col min="8109" max="8109" width="10.109375" style="101" customWidth="1"/>
    <col min="8110" max="8110" width="10.44140625" style="101" customWidth="1"/>
    <col min="8111" max="8111" width="10.5546875" style="101" customWidth="1"/>
    <col min="8112" max="8112" width="8.5546875" style="101" bestFit="1" customWidth="1"/>
    <col min="8113" max="8113" width="7.5546875" style="101" customWidth="1"/>
    <col min="8114" max="8114" width="11.88671875" style="101" customWidth="1"/>
    <col min="8115" max="8115" width="31.88671875" style="101" customWidth="1"/>
    <col min="8116" max="8116" width="3.44140625" style="101" customWidth="1"/>
    <col min="8117" max="8117" width="29.44140625" style="101" customWidth="1"/>
    <col min="8118" max="8118" width="14.5546875" style="101" customWidth="1"/>
    <col min="8119" max="8362" width="9.109375" style="101"/>
    <col min="8363" max="8363" width="23.109375" style="101" customWidth="1"/>
    <col min="8364" max="8364" width="26.44140625" style="101" customWidth="1"/>
    <col min="8365" max="8365" width="10.109375" style="101" customWidth="1"/>
    <col min="8366" max="8366" width="10.44140625" style="101" customWidth="1"/>
    <col min="8367" max="8367" width="10.5546875" style="101" customWidth="1"/>
    <col min="8368" max="8368" width="8.5546875" style="101" bestFit="1" customWidth="1"/>
    <col min="8369" max="8369" width="7.5546875" style="101" customWidth="1"/>
    <col min="8370" max="8370" width="11.88671875" style="101" customWidth="1"/>
    <col min="8371" max="8371" width="31.88671875" style="101" customWidth="1"/>
    <col min="8372" max="8372" width="3.44140625" style="101" customWidth="1"/>
    <col min="8373" max="8373" width="29.44140625" style="101" customWidth="1"/>
    <col min="8374" max="8374" width="14.5546875" style="101" customWidth="1"/>
    <col min="8375" max="8618" width="9.109375" style="101"/>
    <col min="8619" max="8619" width="23.109375" style="101" customWidth="1"/>
    <col min="8620" max="8620" width="26.44140625" style="101" customWidth="1"/>
    <col min="8621" max="8621" width="10.109375" style="101" customWidth="1"/>
    <col min="8622" max="8622" width="10.44140625" style="101" customWidth="1"/>
    <col min="8623" max="8623" width="10.5546875" style="101" customWidth="1"/>
    <col min="8624" max="8624" width="8.5546875" style="101" bestFit="1" customWidth="1"/>
    <col min="8625" max="8625" width="7.5546875" style="101" customWidth="1"/>
    <col min="8626" max="8626" width="11.88671875" style="101" customWidth="1"/>
    <col min="8627" max="8627" width="31.88671875" style="101" customWidth="1"/>
    <col min="8628" max="8628" width="3.44140625" style="101" customWidth="1"/>
    <col min="8629" max="8629" width="29.44140625" style="101" customWidth="1"/>
    <col min="8630" max="8630" width="14.5546875" style="101" customWidth="1"/>
    <col min="8631" max="8874" width="9.109375" style="101"/>
    <col min="8875" max="8875" width="23.109375" style="101" customWidth="1"/>
    <col min="8876" max="8876" width="26.44140625" style="101" customWidth="1"/>
    <col min="8877" max="8877" width="10.109375" style="101" customWidth="1"/>
    <col min="8878" max="8878" width="10.44140625" style="101" customWidth="1"/>
    <col min="8879" max="8879" width="10.5546875" style="101" customWidth="1"/>
    <col min="8880" max="8880" width="8.5546875" style="101" bestFit="1" customWidth="1"/>
    <col min="8881" max="8881" width="7.5546875" style="101" customWidth="1"/>
    <col min="8882" max="8882" width="11.88671875" style="101" customWidth="1"/>
    <col min="8883" max="8883" width="31.88671875" style="101" customWidth="1"/>
    <col min="8884" max="8884" width="3.44140625" style="101" customWidth="1"/>
    <col min="8885" max="8885" width="29.44140625" style="101" customWidth="1"/>
    <col min="8886" max="8886" width="14.5546875" style="101" customWidth="1"/>
    <col min="8887" max="9130" width="9.109375" style="101"/>
    <col min="9131" max="9131" width="23.109375" style="101" customWidth="1"/>
    <col min="9132" max="9132" width="26.44140625" style="101" customWidth="1"/>
    <col min="9133" max="9133" width="10.109375" style="101" customWidth="1"/>
    <col min="9134" max="9134" width="10.44140625" style="101" customWidth="1"/>
    <col min="9135" max="9135" width="10.5546875" style="101" customWidth="1"/>
    <col min="9136" max="9136" width="8.5546875" style="101" bestFit="1" customWidth="1"/>
    <col min="9137" max="9137" width="7.5546875" style="101" customWidth="1"/>
    <col min="9138" max="9138" width="11.88671875" style="101" customWidth="1"/>
    <col min="9139" max="9139" width="31.88671875" style="101" customWidth="1"/>
    <col min="9140" max="9140" width="3.44140625" style="101" customWidth="1"/>
    <col min="9141" max="9141" width="29.44140625" style="101" customWidth="1"/>
    <col min="9142" max="9142" width="14.5546875" style="101" customWidth="1"/>
    <col min="9143" max="9386" width="9.109375" style="101"/>
    <col min="9387" max="9387" width="23.109375" style="101" customWidth="1"/>
    <col min="9388" max="9388" width="26.44140625" style="101" customWidth="1"/>
    <col min="9389" max="9389" width="10.109375" style="101" customWidth="1"/>
    <col min="9390" max="9390" width="10.44140625" style="101" customWidth="1"/>
    <col min="9391" max="9391" width="10.5546875" style="101" customWidth="1"/>
    <col min="9392" max="9392" width="8.5546875" style="101" bestFit="1" customWidth="1"/>
    <col min="9393" max="9393" width="7.5546875" style="101" customWidth="1"/>
    <col min="9394" max="9394" width="11.88671875" style="101" customWidth="1"/>
    <col min="9395" max="9395" width="31.88671875" style="101" customWidth="1"/>
    <col min="9396" max="9396" width="3.44140625" style="101" customWidth="1"/>
    <col min="9397" max="9397" width="29.44140625" style="101" customWidth="1"/>
    <col min="9398" max="9398" width="14.5546875" style="101" customWidth="1"/>
    <col min="9399" max="9642" width="9.109375" style="101"/>
    <col min="9643" max="9643" width="23.109375" style="101" customWidth="1"/>
    <col min="9644" max="9644" width="26.44140625" style="101" customWidth="1"/>
    <col min="9645" max="9645" width="10.109375" style="101" customWidth="1"/>
    <col min="9646" max="9646" width="10.44140625" style="101" customWidth="1"/>
    <col min="9647" max="9647" width="10.5546875" style="101" customWidth="1"/>
    <col min="9648" max="9648" width="8.5546875" style="101" bestFit="1" customWidth="1"/>
    <col min="9649" max="9649" width="7.5546875" style="101" customWidth="1"/>
    <col min="9650" max="9650" width="11.88671875" style="101" customWidth="1"/>
    <col min="9651" max="9651" width="31.88671875" style="101" customWidth="1"/>
    <col min="9652" max="9652" width="3.44140625" style="101" customWidth="1"/>
    <col min="9653" max="9653" width="29.44140625" style="101" customWidth="1"/>
    <col min="9654" max="9654" width="14.5546875" style="101" customWidth="1"/>
    <col min="9655" max="9898" width="9.109375" style="101"/>
    <col min="9899" max="9899" width="23.109375" style="101" customWidth="1"/>
    <col min="9900" max="9900" width="26.44140625" style="101" customWidth="1"/>
    <col min="9901" max="9901" width="10.109375" style="101" customWidth="1"/>
    <col min="9902" max="9902" width="10.44140625" style="101" customWidth="1"/>
    <col min="9903" max="9903" width="10.5546875" style="101" customWidth="1"/>
    <col min="9904" max="9904" width="8.5546875" style="101" bestFit="1" customWidth="1"/>
    <col min="9905" max="9905" width="7.5546875" style="101" customWidth="1"/>
    <col min="9906" max="9906" width="11.88671875" style="101" customWidth="1"/>
    <col min="9907" max="9907" width="31.88671875" style="101" customWidth="1"/>
    <col min="9908" max="9908" width="3.44140625" style="101" customWidth="1"/>
    <col min="9909" max="9909" width="29.44140625" style="101" customWidth="1"/>
    <col min="9910" max="9910" width="14.5546875" style="101" customWidth="1"/>
    <col min="9911" max="10154" width="9.109375" style="101"/>
    <col min="10155" max="10155" width="23.109375" style="101" customWidth="1"/>
    <col min="10156" max="10156" width="26.44140625" style="101" customWidth="1"/>
    <col min="10157" max="10157" width="10.109375" style="101" customWidth="1"/>
    <col min="10158" max="10158" width="10.44140625" style="101" customWidth="1"/>
    <col min="10159" max="10159" width="10.5546875" style="101" customWidth="1"/>
    <col min="10160" max="10160" width="8.5546875" style="101" bestFit="1" customWidth="1"/>
    <col min="10161" max="10161" width="7.5546875" style="101" customWidth="1"/>
    <col min="10162" max="10162" width="11.88671875" style="101" customWidth="1"/>
    <col min="10163" max="10163" width="31.88671875" style="101" customWidth="1"/>
    <col min="10164" max="10164" width="3.44140625" style="101" customWidth="1"/>
    <col min="10165" max="10165" width="29.44140625" style="101" customWidth="1"/>
    <col min="10166" max="10166" width="14.5546875" style="101" customWidth="1"/>
    <col min="10167" max="10410" width="9.109375" style="101"/>
    <col min="10411" max="10411" width="23.109375" style="101" customWidth="1"/>
    <col min="10412" max="10412" width="26.44140625" style="101" customWidth="1"/>
    <col min="10413" max="10413" width="10.109375" style="101" customWidth="1"/>
    <col min="10414" max="10414" width="10.44140625" style="101" customWidth="1"/>
    <col min="10415" max="10415" width="10.5546875" style="101" customWidth="1"/>
    <col min="10416" max="10416" width="8.5546875" style="101" bestFit="1" customWidth="1"/>
    <col min="10417" max="10417" width="7.5546875" style="101" customWidth="1"/>
    <col min="10418" max="10418" width="11.88671875" style="101" customWidth="1"/>
    <col min="10419" max="10419" width="31.88671875" style="101" customWidth="1"/>
    <col min="10420" max="10420" width="3.44140625" style="101" customWidth="1"/>
    <col min="10421" max="10421" width="29.44140625" style="101" customWidth="1"/>
    <col min="10422" max="10422" width="14.5546875" style="101" customWidth="1"/>
    <col min="10423" max="10666" width="9.109375" style="101"/>
    <col min="10667" max="10667" width="23.109375" style="101" customWidth="1"/>
    <col min="10668" max="10668" width="26.44140625" style="101" customWidth="1"/>
    <col min="10669" max="10669" width="10.109375" style="101" customWidth="1"/>
    <col min="10670" max="10670" width="10.44140625" style="101" customWidth="1"/>
    <col min="10671" max="10671" width="10.5546875" style="101" customWidth="1"/>
    <col min="10672" max="10672" width="8.5546875" style="101" bestFit="1" customWidth="1"/>
    <col min="10673" max="10673" width="7.5546875" style="101" customWidth="1"/>
    <col min="10674" max="10674" width="11.88671875" style="101" customWidth="1"/>
    <col min="10675" max="10675" width="31.88671875" style="101" customWidth="1"/>
    <col min="10676" max="10676" width="3.44140625" style="101" customWidth="1"/>
    <col min="10677" max="10677" width="29.44140625" style="101" customWidth="1"/>
    <col min="10678" max="10678" width="14.5546875" style="101" customWidth="1"/>
    <col min="10679" max="10922" width="9.109375" style="101"/>
    <col min="10923" max="10923" width="23.109375" style="101" customWidth="1"/>
    <col min="10924" max="10924" width="26.44140625" style="101" customWidth="1"/>
    <col min="10925" max="10925" width="10.109375" style="101" customWidth="1"/>
    <col min="10926" max="10926" width="10.44140625" style="101" customWidth="1"/>
    <col min="10927" max="10927" width="10.5546875" style="101" customWidth="1"/>
    <col min="10928" max="10928" width="8.5546875" style="101" bestFit="1" customWidth="1"/>
    <col min="10929" max="10929" width="7.5546875" style="101" customWidth="1"/>
    <col min="10930" max="10930" width="11.88671875" style="101" customWidth="1"/>
    <col min="10931" max="10931" width="31.88671875" style="101" customWidth="1"/>
    <col min="10932" max="10932" width="3.44140625" style="101" customWidth="1"/>
    <col min="10933" max="10933" width="29.44140625" style="101" customWidth="1"/>
    <col min="10934" max="10934" width="14.5546875" style="101" customWidth="1"/>
    <col min="10935" max="11178" width="9.109375" style="101"/>
    <col min="11179" max="11179" width="23.109375" style="101" customWidth="1"/>
    <col min="11180" max="11180" width="26.44140625" style="101" customWidth="1"/>
    <col min="11181" max="11181" width="10.109375" style="101" customWidth="1"/>
    <col min="11182" max="11182" width="10.44140625" style="101" customWidth="1"/>
    <col min="11183" max="11183" width="10.5546875" style="101" customWidth="1"/>
    <col min="11184" max="11184" width="8.5546875" style="101" bestFit="1" customWidth="1"/>
    <col min="11185" max="11185" width="7.5546875" style="101" customWidth="1"/>
    <col min="11186" max="11186" width="11.88671875" style="101" customWidth="1"/>
    <col min="11187" max="11187" width="31.88671875" style="101" customWidth="1"/>
    <col min="11188" max="11188" width="3.44140625" style="101" customWidth="1"/>
    <col min="11189" max="11189" width="29.44140625" style="101" customWidth="1"/>
    <col min="11190" max="11190" width="14.5546875" style="101" customWidth="1"/>
    <col min="11191" max="11434" width="9.109375" style="101"/>
    <col min="11435" max="11435" width="23.109375" style="101" customWidth="1"/>
    <col min="11436" max="11436" width="26.44140625" style="101" customWidth="1"/>
    <col min="11437" max="11437" width="10.109375" style="101" customWidth="1"/>
    <col min="11438" max="11438" width="10.44140625" style="101" customWidth="1"/>
    <col min="11439" max="11439" width="10.5546875" style="101" customWidth="1"/>
    <col min="11440" max="11440" width="8.5546875" style="101" bestFit="1" customWidth="1"/>
    <col min="11441" max="11441" width="7.5546875" style="101" customWidth="1"/>
    <col min="11442" max="11442" width="11.88671875" style="101" customWidth="1"/>
    <col min="11443" max="11443" width="31.88671875" style="101" customWidth="1"/>
    <col min="11444" max="11444" width="3.44140625" style="101" customWidth="1"/>
    <col min="11445" max="11445" width="29.44140625" style="101" customWidth="1"/>
    <col min="11446" max="11446" width="14.5546875" style="101" customWidth="1"/>
    <col min="11447" max="11690" width="9.109375" style="101"/>
    <col min="11691" max="11691" width="23.109375" style="101" customWidth="1"/>
    <col min="11692" max="11692" width="26.44140625" style="101" customWidth="1"/>
    <col min="11693" max="11693" width="10.109375" style="101" customWidth="1"/>
    <col min="11694" max="11694" width="10.44140625" style="101" customWidth="1"/>
    <col min="11695" max="11695" width="10.5546875" style="101" customWidth="1"/>
    <col min="11696" max="11696" width="8.5546875" style="101" bestFit="1" customWidth="1"/>
    <col min="11697" max="11697" width="7.5546875" style="101" customWidth="1"/>
    <col min="11698" max="11698" width="11.88671875" style="101" customWidth="1"/>
    <col min="11699" max="11699" width="31.88671875" style="101" customWidth="1"/>
    <col min="11700" max="11700" width="3.44140625" style="101" customWidth="1"/>
    <col min="11701" max="11701" width="29.44140625" style="101" customWidth="1"/>
    <col min="11702" max="11702" width="14.5546875" style="101" customWidth="1"/>
    <col min="11703" max="11946" width="9.109375" style="101"/>
    <col min="11947" max="11947" width="23.109375" style="101" customWidth="1"/>
    <col min="11948" max="11948" width="26.44140625" style="101" customWidth="1"/>
    <col min="11949" max="11949" width="10.109375" style="101" customWidth="1"/>
    <col min="11950" max="11950" width="10.44140625" style="101" customWidth="1"/>
    <col min="11951" max="11951" width="10.5546875" style="101" customWidth="1"/>
    <col min="11952" max="11952" width="8.5546875" style="101" bestFit="1" customWidth="1"/>
    <col min="11953" max="11953" width="7.5546875" style="101" customWidth="1"/>
    <col min="11954" max="11954" width="11.88671875" style="101" customWidth="1"/>
    <col min="11955" max="11955" width="31.88671875" style="101" customWidth="1"/>
    <col min="11956" max="11956" width="3.44140625" style="101" customWidth="1"/>
    <col min="11957" max="11957" width="29.44140625" style="101" customWidth="1"/>
    <col min="11958" max="11958" width="14.5546875" style="101" customWidth="1"/>
    <col min="11959" max="12202" width="9.109375" style="101"/>
    <col min="12203" max="12203" width="23.109375" style="101" customWidth="1"/>
    <col min="12204" max="12204" width="26.44140625" style="101" customWidth="1"/>
    <col min="12205" max="12205" width="10.109375" style="101" customWidth="1"/>
    <col min="12206" max="12206" width="10.44140625" style="101" customWidth="1"/>
    <col min="12207" max="12207" width="10.5546875" style="101" customWidth="1"/>
    <col min="12208" max="12208" width="8.5546875" style="101" bestFit="1" customWidth="1"/>
    <col min="12209" max="12209" width="7.5546875" style="101" customWidth="1"/>
    <col min="12210" max="12210" width="11.88671875" style="101" customWidth="1"/>
    <col min="12211" max="12211" width="31.88671875" style="101" customWidth="1"/>
    <col min="12212" max="12212" width="3.44140625" style="101" customWidth="1"/>
    <col min="12213" max="12213" width="29.44140625" style="101" customWidth="1"/>
    <col min="12214" max="12214" width="14.5546875" style="101" customWidth="1"/>
    <col min="12215" max="12458" width="9.109375" style="101"/>
    <col min="12459" max="12459" width="23.109375" style="101" customWidth="1"/>
    <col min="12460" max="12460" width="26.44140625" style="101" customWidth="1"/>
    <col min="12461" max="12461" width="10.109375" style="101" customWidth="1"/>
    <col min="12462" max="12462" width="10.44140625" style="101" customWidth="1"/>
    <col min="12463" max="12463" width="10.5546875" style="101" customWidth="1"/>
    <col min="12464" max="12464" width="8.5546875" style="101" bestFit="1" customWidth="1"/>
    <col min="12465" max="12465" width="7.5546875" style="101" customWidth="1"/>
    <col min="12466" max="12466" width="11.88671875" style="101" customWidth="1"/>
    <col min="12467" max="12467" width="31.88671875" style="101" customWidth="1"/>
    <col min="12468" max="12468" width="3.44140625" style="101" customWidth="1"/>
    <col min="12469" max="12469" width="29.44140625" style="101" customWidth="1"/>
    <col min="12470" max="12470" width="14.5546875" style="101" customWidth="1"/>
    <col min="12471" max="12714" width="9.109375" style="101"/>
    <col min="12715" max="12715" width="23.109375" style="101" customWidth="1"/>
    <col min="12716" max="12716" width="26.44140625" style="101" customWidth="1"/>
    <col min="12717" max="12717" width="10.109375" style="101" customWidth="1"/>
    <col min="12718" max="12718" width="10.44140625" style="101" customWidth="1"/>
    <col min="12719" max="12719" width="10.5546875" style="101" customWidth="1"/>
    <col min="12720" max="12720" width="8.5546875" style="101" bestFit="1" customWidth="1"/>
    <col min="12721" max="12721" width="7.5546875" style="101" customWidth="1"/>
    <col min="12722" max="12722" width="11.88671875" style="101" customWidth="1"/>
    <col min="12723" max="12723" width="31.88671875" style="101" customWidth="1"/>
    <col min="12724" max="12724" width="3.44140625" style="101" customWidth="1"/>
    <col min="12725" max="12725" width="29.44140625" style="101" customWidth="1"/>
    <col min="12726" max="12726" width="14.5546875" style="101" customWidth="1"/>
    <col min="12727" max="12970" width="9.109375" style="101"/>
    <col min="12971" max="12971" width="23.109375" style="101" customWidth="1"/>
    <col min="12972" max="12972" width="26.44140625" style="101" customWidth="1"/>
    <col min="12973" max="12973" width="10.109375" style="101" customWidth="1"/>
    <col min="12974" max="12974" width="10.44140625" style="101" customWidth="1"/>
    <col min="12975" max="12975" width="10.5546875" style="101" customWidth="1"/>
    <col min="12976" max="12976" width="8.5546875" style="101" bestFit="1" customWidth="1"/>
    <col min="12977" max="12977" width="7.5546875" style="101" customWidth="1"/>
    <col min="12978" max="12978" width="11.88671875" style="101" customWidth="1"/>
    <col min="12979" max="12979" width="31.88671875" style="101" customWidth="1"/>
    <col min="12980" max="12980" width="3.44140625" style="101" customWidth="1"/>
    <col min="12981" max="12981" width="29.44140625" style="101" customWidth="1"/>
    <col min="12982" max="12982" width="14.5546875" style="101" customWidth="1"/>
    <col min="12983" max="13226" width="9.109375" style="101"/>
    <col min="13227" max="13227" width="23.109375" style="101" customWidth="1"/>
    <col min="13228" max="13228" width="26.44140625" style="101" customWidth="1"/>
    <col min="13229" max="13229" width="10.109375" style="101" customWidth="1"/>
    <col min="13230" max="13230" width="10.44140625" style="101" customWidth="1"/>
    <col min="13231" max="13231" width="10.5546875" style="101" customWidth="1"/>
    <col min="13232" max="13232" width="8.5546875" style="101" bestFit="1" customWidth="1"/>
    <col min="13233" max="13233" width="7.5546875" style="101" customWidth="1"/>
    <col min="13234" max="13234" width="11.88671875" style="101" customWidth="1"/>
    <col min="13235" max="13235" width="31.88671875" style="101" customWidth="1"/>
    <col min="13236" max="13236" width="3.44140625" style="101" customWidth="1"/>
    <col min="13237" max="13237" width="29.44140625" style="101" customWidth="1"/>
    <col min="13238" max="13238" width="14.5546875" style="101" customWidth="1"/>
    <col min="13239" max="13482" width="9.109375" style="101"/>
    <col min="13483" max="13483" width="23.109375" style="101" customWidth="1"/>
    <col min="13484" max="13484" width="26.44140625" style="101" customWidth="1"/>
    <col min="13485" max="13485" width="10.109375" style="101" customWidth="1"/>
    <col min="13486" max="13486" width="10.44140625" style="101" customWidth="1"/>
    <col min="13487" max="13487" width="10.5546875" style="101" customWidth="1"/>
    <col min="13488" max="13488" width="8.5546875" style="101" bestFit="1" customWidth="1"/>
    <col min="13489" max="13489" width="7.5546875" style="101" customWidth="1"/>
    <col min="13490" max="13490" width="11.88671875" style="101" customWidth="1"/>
    <col min="13491" max="13491" width="31.88671875" style="101" customWidth="1"/>
    <col min="13492" max="13492" width="3.44140625" style="101" customWidth="1"/>
    <col min="13493" max="13493" width="29.44140625" style="101" customWidth="1"/>
    <col min="13494" max="13494" width="14.5546875" style="101" customWidth="1"/>
    <col min="13495" max="13738" width="9.109375" style="101"/>
    <col min="13739" max="13739" width="23.109375" style="101" customWidth="1"/>
    <col min="13740" max="13740" width="26.44140625" style="101" customWidth="1"/>
    <col min="13741" max="13741" width="10.109375" style="101" customWidth="1"/>
    <col min="13742" max="13742" width="10.44140625" style="101" customWidth="1"/>
    <col min="13743" max="13743" width="10.5546875" style="101" customWidth="1"/>
    <col min="13744" max="13744" width="8.5546875" style="101" bestFit="1" customWidth="1"/>
    <col min="13745" max="13745" width="7.5546875" style="101" customWidth="1"/>
    <col min="13746" max="13746" width="11.88671875" style="101" customWidth="1"/>
    <col min="13747" max="13747" width="31.88671875" style="101" customWidth="1"/>
    <col min="13748" max="13748" width="3.44140625" style="101" customWidth="1"/>
    <col min="13749" max="13749" width="29.44140625" style="101" customWidth="1"/>
    <col min="13750" max="13750" width="14.5546875" style="101" customWidth="1"/>
    <col min="13751" max="13994" width="9.109375" style="101"/>
    <col min="13995" max="13995" width="23.109375" style="101" customWidth="1"/>
    <col min="13996" max="13996" width="26.44140625" style="101" customWidth="1"/>
    <col min="13997" max="13997" width="10.109375" style="101" customWidth="1"/>
    <col min="13998" max="13998" width="10.44140625" style="101" customWidth="1"/>
    <col min="13999" max="13999" width="10.5546875" style="101" customWidth="1"/>
    <col min="14000" max="14000" width="8.5546875" style="101" bestFit="1" customWidth="1"/>
    <col min="14001" max="14001" width="7.5546875" style="101" customWidth="1"/>
    <col min="14002" max="14002" width="11.88671875" style="101" customWidth="1"/>
    <col min="14003" max="14003" width="31.88671875" style="101" customWidth="1"/>
    <col min="14004" max="14004" width="3.44140625" style="101" customWidth="1"/>
    <col min="14005" max="14005" width="29.44140625" style="101" customWidth="1"/>
    <col min="14006" max="14006" width="14.5546875" style="101" customWidth="1"/>
    <col min="14007" max="14250" width="9.109375" style="101"/>
    <col min="14251" max="14251" width="23.109375" style="101" customWidth="1"/>
    <col min="14252" max="14252" width="26.44140625" style="101" customWidth="1"/>
    <col min="14253" max="14253" width="10.109375" style="101" customWidth="1"/>
    <col min="14254" max="14254" width="10.44140625" style="101" customWidth="1"/>
    <col min="14255" max="14255" width="10.5546875" style="101" customWidth="1"/>
    <col min="14256" max="14256" width="8.5546875" style="101" bestFit="1" customWidth="1"/>
    <col min="14257" max="14257" width="7.5546875" style="101" customWidth="1"/>
    <col min="14258" max="14258" width="11.88671875" style="101" customWidth="1"/>
    <col min="14259" max="14259" width="31.88671875" style="101" customWidth="1"/>
    <col min="14260" max="14260" width="3.44140625" style="101" customWidth="1"/>
    <col min="14261" max="14261" width="29.44140625" style="101" customWidth="1"/>
    <col min="14262" max="14262" width="14.5546875" style="101" customWidth="1"/>
    <col min="14263" max="14506" width="9.109375" style="101"/>
    <col min="14507" max="14507" width="23.109375" style="101" customWidth="1"/>
    <col min="14508" max="14508" width="26.44140625" style="101" customWidth="1"/>
    <col min="14509" max="14509" width="10.109375" style="101" customWidth="1"/>
    <col min="14510" max="14510" width="10.44140625" style="101" customWidth="1"/>
    <col min="14511" max="14511" width="10.5546875" style="101" customWidth="1"/>
    <col min="14512" max="14512" width="8.5546875" style="101" bestFit="1" customWidth="1"/>
    <col min="14513" max="14513" width="7.5546875" style="101" customWidth="1"/>
    <col min="14514" max="14514" width="11.88671875" style="101" customWidth="1"/>
    <col min="14515" max="14515" width="31.88671875" style="101" customWidth="1"/>
    <col min="14516" max="14516" width="3.44140625" style="101" customWidth="1"/>
    <col min="14517" max="14517" width="29.44140625" style="101" customWidth="1"/>
    <col min="14518" max="14518" width="14.5546875" style="101" customWidth="1"/>
    <col min="14519" max="14762" width="9.109375" style="101"/>
    <col min="14763" max="14763" width="23.109375" style="101" customWidth="1"/>
    <col min="14764" max="14764" width="26.44140625" style="101" customWidth="1"/>
    <col min="14765" max="14765" width="10.109375" style="101" customWidth="1"/>
    <col min="14766" max="14766" width="10.44140625" style="101" customWidth="1"/>
    <col min="14767" max="14767" width="10.5546875" style="101" customWidth="1"/>
    <col min="14768" max="14768" width="8.5546875" style="101" bestFit="1" customWidth="1"/>
    <col min="14769" max="14769" width="7.5546875" style="101" customWidth="1"/>
    <col min="14770" max="14770" width="11.88671875" style="101" customWidth="1"/>
    <col min="14771" max="14771" width="31.88671875" style="101" customWidth="1"/>
    <col min="14772" max="14772" width="3.44140625" style="101" customWidth="1"/>
    <col min="14773" max="14773" width="29.44140625" style="101" customWidth="1"/>
    <col min="14774" max="14774" width="14.5546875" style="101" customWidth="1"/>
    <col min="14775" max="15018" width="9.109375" style="101"/>
    <col min="15019" max="15019" width="23.109375" style="101" customWidth="1"/>
    <col min="15020" max="15020" width="26.44140625" style="101" customWidth="1"/>
    <col min="15021" max="15021" width="10.109375" style="101" customWidth="1"/>
    <col min="15022" max="15022" width="10.44140625" style="101" customWidth="1"/>
    <col min="15023" max="15023" width="10.5546875" style="101" customWidth="1"/>
    <col min="15024" max="15024" width="8.5546875" style="101" bestFit="1" customWidth="1"/>
    <col min="15025" max="15025" width="7.5546875" style="101" customWidth="1"/>
    <col min="15026" max="15026" width="11.88671875" style="101" customWidth="1"/>
    <col min="15027" max="15027" width="31.88671875" style="101" customWidth="1"/>
    <col min="15028" max="15028" width="3.44140625" style="101" customWidth="1"/>
    <col min="15029" max="15029" width="29.44140625" style="101" customWidth="1"/>
    <col min="15030" max="15030" width="14.5546875" style="101" customWidth="1"/>
    <col min="15031" max="15274" width="9.109375" style="101"/>
    <col min="15275" max="15275" width="23.109375" style="101" customWidth="1"/>
    <col min="15276" max="15276" width="26.44140625" style="101" customWidth="1"/>
    <col min="15277" max="15277" width="10.109375" style="101" customWidth="1"/>
    <col min="15278" max="15278" width="10.44140625" style="101" customWidth="1"/>
    <col min="15279" max="15279" width="10.5546875" style="101" customWidth="1"/>
    <col min="15280" max="15280" width="8.5546875" style="101" bestFit="1" customWidth="1"/>
    <col min="15281" max="15281" width="7.5546875" style="101" customWidth="1"/>
    <col min="15282" max="15282" width="11.88671875" style="101" customWidth="1"/>
    <col min="15283" max="15283" width="31.88671875" style="101" customWidth="1"/>
    <col min="15284" max="15284" width="3.44140625" style="101" customWidth="1"/>
    <col min="15285" max="15285" width="29.44140625" style="101" customWidth="1"/>
    <col min="15286" max="15286" width="14.5546875" style="101" customWidth="1"/>
    <col min="15287" max="15530" width="9.109375" style="101"/>
    <col min="15531" max="15531" width="23.109375" style="101" customWidth="1"/>
    <col min="15532" max="15532" width="26.44140625" style="101" customWidth="1"/>
    <col min="15533" max="15533" width="10.109375" style="101" customWidth="1"/>
    <col min="15534" max="15534" width="10.44140625" style="101" customWidth="1"/>
    <col min="15535" max="15535" width="10.5546875" style="101" customWidth="1"/>
    <col min="15536" max="15536" width="8.5546875" style="101" bestFit="1" customWidth="1"/>
    <col min="15537" max="15537" width="7.5546875" style="101" customWidth="1"/>
    <col min="15538" max="15538" width="11.88671875" style="101" customWidth="1"/>
    <col min="15539" max="15539" width="31.88671875" style="101" customWidth="1"/>
    <col min="15540" max="15540" width="3.44140625" style="101" customWidth="1"/>
    <col min="15541" max="15541" width="29.44140625" style="101" customWidth="1"/>
    <col min="15542" max="15542" width="14.5546875" style="101" customWidth="1"/>
    <col min="15543" max="15786" width="9.109375" style="101"/>
    <col min="15787" max="15787" width="23.109375" style="101" customWidth="1"/>
    <col min="15788" max="15788" width="26.44140625" style="101" customWidth="1"/>
    <col min="15789" max="15789" width="10.109375" style="101" customWidth="1"/>
    <col min="15790" max="15790" width="10.44140625" style="101" customWidth="1"/>
    <col min="15791" max="15791" width="10.5546875" style="101" customWidth="1"/>
    <col min="15792" max="15792" width="8.5546875" style="101" bestFit="1" customWidth="1"/>
    <col min="15793" max="15793" width="7.5546875" style="101" customWidth="1"/>
    <col min="15794" max="15794" width="11.88671875" style="101" customWidth="1"/>
    <col min="15795" max="15795" width="31.88671875" style="101" customWidth="1"/>
    <col min="15796" max="15796" width="3.44140625" style="101" customWidth="1"/>
    <col min="15797" max="15797" width="29.44140625" style="101" customWidth="1"/>
    <col min="15798" max="15798" width="14.5546875" style="101" customWidth="1"/>
    <col min="15799" max="16042" width="9.109375" style="101"/>
    <col min="16043" max="16043" width="23.109375" style="101" customWidth="1"/>
    <col min="16044" max="16044" width="26.44140625" style="101" customWidth="1"/>
    <col min="16045" max="16045" width="10.109375" style="101" customWidth="1"/>
    <col min="16046" max="16046" width="10.44140625" style="101" customWidth="1"/>
    <col min="16047" max="16047" width="10.5546875" style="101" customWidth="1"/>
    <col min="16048" max="16048" width="8.5546875" style="101" bestFit="1" customWidth="1"/>
    <col min="16049" max="16049" width="7.5546875" style="101" customWidth="1"/>
    <col min="16050" max="16050" width="11.88671875" style="101" customWidth="1"/>
    <col min="16051" max="16051" width="31.88671875" style="101" customWidth="1"/>
    <col min="16052" max="16052" width="3.44140625" style="101" customWidth="1"/>
    <col min="16053" max="16053" width="29.44140625" style="101" customWidth="1"/>
    <col min="16054" max="16054" width="14.5546875" style="101" customWidth="1"/>
    <col min="16055" max="16384" width="9.109375" style="101"/>
  </cols>
  <sheetData>
    <row r="1" spans="1:18" s="119" customFormat="1" ht="13.95" customHeight="1">
      <c r="C1" s="114"/>
      <c r="D1" s="114"/>
      <c r="E1" s="114"/>
      <c r="F1" s="114"/>
      <c r="G1" s="114"/>
      <c r="H1" s="114"/>
      <c r="I1" s="114"/>
      <c r="J1" s="120" t="s">
        <v>350</v>
      </c>
    </row>
    <row r="2" spans="1:18" s="119" customFormat="1" ht="13.95" customHeight="1">
      <c r="B2" s="119">
        <v>1</v>
      </c>
      <c r="C2" s="121">
        <v>2</v>
      </c>
      <c r="D2" s="121">
        <v>3</v>
      </c>
      <c r="E2" s="121">
        <v>4</v>
      </c>
      <c r="F2" s="121">
        <v>5</v>
      </c>
      <c r="G2" s="121">
        <v>6</v>
      </c>
      <c r="H2" s="121">
        <v>7</v>
      </c>
      <c r="I2" s="121">
        <v>8</v>
      </c>
      <c r="J2" s="121">
        <v>9</v>
      </c>
      <c r="K2" s="121">
        <v>10</v>
      </c>
      <c r="L2" s="121">
        <v>11</v>
      </c>
      <c r="M2" s="121">
        <v>12</v>
      </c>
      <c r="N2" s="121">
        <v>13</v>
      </c>
      <c r="O2" s="121">
        <v>14</v>
      </c>
      <c r="P2" s="121"/>
      <c r="Q2" s="121">
        <v>15</v>
      </c>
      <c r="R2" s="121">
        <v>16</v>
      </c>
    </row>
    <row r="3" spans="1:18" s="98" customFormat="1" ht="18">
      <c r="A3" s="407" t="s">
        <v>351</v>
      </c>
      <c r="B3" s="408"/>
      <c r="C3" s="408"/>
      <c r="D3" s="408"/>
      <c r="E3" s="408"/>
      <c r="F3" s="408"/>
      <c r="G3" s="408"/>
      <c r="H3" s="408"/>
      <c r="I3" s="408"/>
      <c r="J3" s="408"/>
      <c r="K3" s="408"/>
      <c r="L3" s="408"/>
      <c r="M3" s="408"/>
      <c r="N3" s="408"/>
      <c r="O3" s="408"/>
      <c r="P3" s="408"/>
      <c r="Q3" s="408"/>
      <c r="R3" s="409"/>
    </row>
    <row r="4" spans="1:18" s="99" customFormat="1" ht="39.450000000000003" customHeight="1">
      <c r="A4" s="410" t="s">
        <v>352</v>
      </c>
      <c r="B4" s="411"/>
      <c r="C4" s="412"/>
      <c r="D4" s="413" t="s">
        <v>353</v>
      </c>
      <c r="E4" s="413"/>
      <c r="F4" s="410" t="s">
        <v>354</v>
      </c>
      <c r="G4" s="417"/>
      <c r="H4" s="418"/>
      <c r="I4" s="125" t="s">
        <v>355</v>
      </c>
      <c r="J4" s="419" t="s">
        <v>356</v>
      </c>
      <c r="K4" s="420"/>
      <c r="L4" s="84" t="s">
        <v>357</v>
      </c>
      <c r="M4" s="414" t="s">
        <v>358</v>
      </c>
      <c r="N4" s="415"/>
      <c r="O4" s="416"/>
      <c r="P4" s="91"/>
      <c r="Q4" s="402"/>
      <c r="R4" s="403"/>
    </row>
    <row r="5" spans="1:18" s="100" customFormat="1" ht="192.9" customHeight="1">
      <c r="A5" s="54" t="s">
        <v>359</v>
      </c>
      <c r="B5" s="86" t="s">
        <v>360</v>
      </c>
      <c r="C5" s="85" t="s">
        <v>361</v>
      </c>
      <c r="D5" s="86" t="s">
        <v>362</v>
      </c>
      <c r="E5" s="86" t="s">
        <v>363</v>
      </c>
      <c r="F5" s="86" t="s">
        <v>364</v>
      </c>
      <c r="G5" s="86" t="s">
        <v>365</v>
      </c>
      <c r="H5" s="86" t="s">
        <v>366</v>
      </c>
      <c r="I5" s="86" t="s">
        <v>367</v>
      </c>
      <c r="J5" s="86" t="s">
        <v>368</v>
      </c>
      <c r="K5" s="86" t="s">
        <v>369</v>
      </c>
      <c r="L5" s="85" t="s">
        <v>370</v>
      </c>
      <c r="M5" s="86" t="s">
        <v>371</v>
      </c>
      <c r="N5" s="86" t="s">
        <v>372</v>
      </c>
      <c r="O5" s="85" t="s">
        <v>373</v>
      </c>
      <c r="P5" s="92"/>
      <c r="Q5" s="118" t="s">
        <v>374</v>
      </c>
      <c r="R5" s="118" t="s">
        <v>375</v>
      </c>
    </row>
    <row r="6" spans="1:18" ht="15.6">
      <c r="A6" s="9">
        <v>1</v>
      </c>
      <c r="B6" s="399" t="s">
        <v>376</v>
      </c>
      <c r="C6" s="400"/>
      <c r="D6" s="400"/>
      <c r="E6" s="400"/>
      <c r="F6" s="400"/>
      <c r="G6" s="400"/>
      <c r="H6" s="400"/>
      <c r="I6" s="400"/>
      <c r="J6" s="400"/>
      <c r="K6" s="400"/>
      <c r="L6" s="400"/>
      <c r="M6" s="400"/>
      <c r="N6" s="400"/>
      <c r="O6" s="401"/>
      <c r="P6" s="89"/>
      <c r="Q6" s="87"/>
      <c r="R6" s="88"/>
    </row>
    <row r="7" spans="1:18" s="104" customFormat="1" ht="39" customHeight="1">
      <c r="A7" s="63" t="s">
        <v>377</v>
      </c>
      <c r="B7" s="127" t="s">
        <v>378</v>
      </c>
      <c r="C7" s="64"/>
      <c r="D7" s="64"/>
      <c r="E7" s="64"/>
      <c r="F7" s="122"/>
      <c r="G7" s="122"/>
      <c r="H7" s="123"/>
      <c r="I7" s="124"/>
      <c r="J7" s="64"/>
      <c r="K7" s="64"/>
      <c r="L7" s="64"/>
      <c r="M7" s="122"/>
      <c r="N7" s="122"/>
      <c r="O7" s="123"/>
      <c r="P7" s="64"/>
      <c r="Q7" s="64"/>
      <c r="R7" s="64"/>
    </row>
    <row r="8" spans="1:18" s="104" customFormat="1" ht="39" customHeight="1">
      <c r="A8" s="63"/>
      <c r="B8" s="127" t="s">
        <v>379</v>
      </c>
      <c r="C8" s="64"/>
      <c r="D8" s="64"/>
      <c r="E8" s="64"/>
      <c r="F8" s="122"/>
      <c r="G8" s="122"/>
      <c r="H8" s="123"/>
      <c r="I8" s="124"/>
      <c r="J8" s="64"/>
      <c r="K8" s="64"/>
      <c r="L8" s="64"/>
      <c r="M8" s="122"/>
      <c r="N8" s="122"/>
      <c r="O8" s="123"/>
      <c r="P8" s="64"/>
      <c r="Q8" s="64"/>
      <c r="R8" s="64"/>
    </row>
    <row r="9" spans="1:18" s="104" customFormat="1" ht="63" customHeight="1">
      <c r="A9" s="63"/>
      <c r="B9" s="127" t="s">
        <v>380</v>
      </c>
      <c r="C9" s="64"/>
      <c r="D9" s="64"/>
      <c r="E9" s="64"/>
      <c r="F9" s="122"/>
      <c r="G9" s="122"/>
      <c r="H9" s="123"/>
      <c r="I9" s="124"/>
      <c r="J9" s="64"/>
      <c r="K9" s="64"/>
      <c r="L9" s="64"/>
      <c r="M9" s="122"/>
      <c r="N9" s="122"/>
      <c r="O9" s="123"/>
      <c r="P9" s="64"/>
      <c r="Q9" s="64"/>
      <c r="R9" s="64"/>
    </row>
    <row r="10" spans="1:18" s="104" customFormat="1" ht="39" customHeight="1">
      <c r="A10" s="63"/>
      <c r="B10" s="127" t="s">
        <v>381</v>
      </c>
      <c r="C10" s="64"/>
      <c r="D10" s="64"/>
      <c r="E10" s="64"/>
      <c r="F10" s="122"/>
      <c r="G10" s="122"/>
      <c r="H10" s="123"/>
      <c r="I10" s="124"/>
      <c r="J10" s="64"/>
      <c r="K10" s="64"/>
      <c r="L10" s="64"/>
      <c r="M10" s="122"/>
      <c r="N10" s="122"/>
      <c r="O10" s="123"/>
      <c r="P10" s="64"/>
      <c r="Q10" s="64"/>
      <c r="R10" s="64"/>
    </row>
    <row r="11" spans="1:18" s="104" customFormat="1" ht="39" customHeight="1">
      <c r="A11" s="63"/>
      <c r="B11" s="90" t="s">
        <v>382</v>
      </c>
      <c r="C11" s="64"/>
      <c r="D11" s="64"/>
      <c r="E11" s="64"/>
      <c r="F11" s="122"/>
      <c r="G11" s="122"/>
      <c r="H11" s="123"/>
      <c r="I11" s="124"/>
      <c r="J11" s="64"/>
      <c r="K11" s="64"/>
      <c r="L11" s="64"/>
      <c r="M11" s="122"/>
      <c r="N11" s="122"/>
      <c r="O11" s="123"/>
      <c r="P11" s="64"/>
      <c r="Q11" s="64"/>
      <c r="R11" s="64"/>
    </row>
    <row r="12" spans="1:18" s="104" customFormat="1" ht="39" customHeight="1">
      <c r="A12" s="63"/>
      <c r="B12" s="90" t="s">
        <v>383</v>
      </c>
      <c r="C12" s="64"/>
      <c r="D12" s="64"/>
      <c r="E12" s="64"/>
      <c r="F12" s="122"/>
      <c r="G12" s="122"/>
      <c r="H12" s="123"/>
      <c r="I12" s="124"/>
      <c r="J12" s="64"/>
      <c r="K12" s="64"/>
      <c r="L12" s="64"/>
      <c r="M12" s="122"/>
      <c r="N12" s="122"/>
      <c r="O12" s="123"/>
      <c r="P12" s="64"/>
      <c r="Q12" s="64"/>
      <c r="R12" s="64"/>
    </row>
    <row r="13" spans="1:18" ht="39" customHeight="1">
      <c r="A13" s="55">
        <v>2</v>
      </c>
      <c r="B13" s="399" t="s">
        <v>384</v>
      </c>
      <c r="C13" s="400"/>
      <c r="D13" s="400"/>
      <c r="E13" s="400"/>
      <c r="F13" s="400"/>
      <c r="G13" s="400"/>
      <c r="H13" s="400"/>
      <c r="I13" s="400"/>
      <c r="J13" s="400"/>
      <c r="K13" s="400"/>
      <c r="L13" s="400"/>
      <c r="M13" s="400"/>
      <c r="N13" s="400"/>
      <c r="O13" s="401"/>
      <c r="P13" s="93"/>
      <c r="Q13" s="65"/>
      <c r="R13" s="65"/>
    </row>
    <row r="14" spans="1:18" s="111" customFormat="1" ht="39" customHeight="1">
      <c r="A14" s="56" t="s">
        <v>385</v>
      </c>
      <c r="B14" s="90" t="s">
        <v>386</v>
      </c>
      <c r="C14" s="57"/>
      <c r="D14" s="58"/>
      <c r="E14" s="58"/>
      <c r="F14" s="95"/>
      <c r="G14" s="95"/>
      <c r="H14" s="97"/>
      <c r="I14" s="96" t="s">
        <v>387</v>
      </c>
      <c r="J14" s="58"/>
      <c r="K14" s="59"/>
      <c r="L14" s="57"/>
      <c r="M14" s="95"/>
      <c r="N14" s="95"/>
      <c r="O14" s="97"/>
      <c r="P14" s="94"/>
      <c r="Q14" s="60"/>
      <c r="R14" s="58"/>
    </row>
    <row r="15" spans="1:18" s="111" customFormat="1" ht="39" customHeight="1">
      <c r="A15" s="56"/>
      <c r="B15" s="90" t="s">
        <v>388</v>
      </c>
      <c r="C15" s="57"/>
      <c r="D15" s="58"/>
      <c r="E15" s="58"/>
      <c r="F15" s="95"/>
      <c r="G15" s="95"/>
      <c r="H15" s="97"/>
      <c r="I15" s="96" t="s">
        <v>387</v>
      </c>
      <c r="J15" s="58"/>
      <c r="K15" s="59"/>
      <c r="L15" s="57"/>
      <c r="M15" s="95"/>
      <c r="N15" s="95"/>
      <c r="O15" s="97"/>
      <c r="P15" s="94"/>
      <c r="Q15" s="60"/>
      <c r="R15" s="58"/>
    </row>
    <row r="16" spans="1:18" s="111" customFormat="1" ht="39" customHeight="1">
      <c r="A16" s="56"/>
      <c r="B16" s="90" t="s">
        <v>389</v>
      </c>
      <c r="C16" s="57"/>
      <c r="D16" s="58"/>
      <c r="E16" s="58"/>
      <c r="F16" s="95"/>
      <c r="G16" s="95"/>
      <c r="H16" s="97"/>
      <c r="I16" s="96" t="s">
        <v>387</v>
      </c>
      <c r="J16" s="58"/>
      <c r="K16" s="59"/>
      <c r="L16" s="57"/>
      <c r="M16" s="95"/>
      <c r="N16" s="95"/>
      <c r="O16" s="97"/>
      <c r="P16" s="94"/>
      <c r="Q16" s="60"/>
      <c r="R16" s="58"/>
    </row>
    <row r="17" spans="1:18" s="111" customFormat="1" ht="39" customHeight="1">
      <c r="A17" s="56"/>
      <c r="B17" s="90" t="s">
        <v>390</v>
      </c>
      <c r="C17" s="57"/>
      <c r="D17" s="58"/>
      <c r="E17" s="58"/>
      <c r="F17" s="95"/>
      <c r="G17" s="95"/>
      <c r="H17" s="97"/>
      <c r="I17" s="96" t="s">
        <v>387</v>
      </c>
      <c r="J17" s="58"/>
      <c r="K17" s="59"/>
      <c r="L17" s="57"/>
      <c r="M17" s="95"/>
      <c r="N17" s="95"/>
      <c r="O17" s="97"/>
      <c r="P17" s="94"/>
      <c r="Q17" s="60"/>
      <c r="R17" s="58"/>
    </row>
    <row r="18" spans="1:18" s="111" customFormat="1" ht="39" customHeight="1">
      <c r="A18" s="56"/>
      <c r="B18" s="127" t="s">
        <v>391</v>
      </c>
      <c r="C18" s="57"/>
      <c r="D18" s="58"/>
      <c r="E18" s="58"/>
      <c r="F18" s="95"/>
      <c r="G18" s="95"/>
      <c r="H18" s="97"/>
      <c r="I18" s="96" t="s">
        <v>387</v>
      </c>
      <c r="J18" s="58"/>
      <c r="K18" s="59"/>
      <c r="L18" s="57"/>
      <c r="M18" s="95"/>
      <c r="N18" s="95"/>
      <c r="O18" s="97"/>
      <c r="P18" s="94"/>
      <c r="Q18" s="60"/>
      <c r="R18" s="58"/>
    </row>
    <row r="19" spans="1:18" s="111" customFormat="1" ht="56.1" customHeight="1">
      <c r="A19" s="56"/>
      <c r="B19" s="127" t="s">
        <v>392</v>
      </c>
      <c r="C19" s="57"/>
      <c r="D19" s="58"/>
      <c r="E19" s="58"/>
      <c r="F19" s="95"/>
      <c r="G19" s="95"/>
      <c r="H19" s="97"/>
      <c r="I19" s="96" t="s">
        <v>387</v>
      </c>
      <c r="J19" s="58"/>
      <c r="K19" s="59"/>
      <c r="L19" s="57"/>
      <c r="M19" s="95"/>
      <c r="N19" s="95"/>
      <c r="O19" s="97"/>
      <c r="P19" s="94"/>
      <c r="Q19" s="60"/>
      <c r="R19" s="58"/>
    </row>
    <row r="20" spans="1:18" s="111" customFormat="1" ht="39" customHeight="1">
      <c r="A20" s="56"/>
      <c r="B20" s="127" t="s">
        <v>378</v>
      </c>
      <c r="C20" s="57"/>
      <c r="D20" s="58"/>
      <c r="E20" s="58"/>
      <c r="F20" s="95"/>
      <c r="G20" s="95"/>
      <c r="H20" s="97"/>
      <c r="I20" s="96" t="s">
        <v>387</v>
      </c>
      <c r="J20" s="58"/>
      <c r="K20" s="59"/>
      <c r="L20" s="57"/>
      <c r="M20" s="95"/>
      <c r="N20" s="95"/>
      <c r="O20" s="97"/>
      <c r="P20" s="94"/>
      <c r="Q20" s="60"/>
      <c r="R20" s="58"/>
    </row>
    <row r="21" spans="1:18" s="111" customFormat="1" ht="39" customHeight="1">
      <c r="A21" s="56"/>
      <c r="B21" s="127" t="s">
        <v>393</v>
      </c>
      <c r="C21" s="57"/>
      <c r="D21" s="58"/>
      <c r="E21" s="58"/>
      <c r="F21" s="95"/>
      <c r="G21" s="95"/>
      <c r="H21" s="97"/>
      <c r="I21" s="96"/>
      <c r="J21" s="58"/>
      <c r="K21" s="59"/>
      <c r="L21" s="57"/>
      <c r="M21" s="95"/>
      <c r="N21" s="95"/>
      <c r="O21" s="97"/>
      <c r="P21" s="94"/>
      <c r="Q21" s="60"/>
      <c r="R21" s="58"/>
    </row>
    <row r="22" spans="1:18" s="111" customFormat="1" ht="39" customHeight="1">
      <c r="A22" s="56"/>
      <c r="B22" s="127" t="s">
        <v>394</v>
      </c>
      <c r="C22" s="57"/>
      <c r="D22" s="58"/>
      <c r="E22" s="58"/>
      <c r="F22" s="95"/>
      <c r="G22" s="95"/>
      <c r="H22" s="97"/>
      <c r="I22" s="96"/>
      <c r="J22" s="58"/>
      <c r="K22" s="59"/>
      <c r="L22" s="57"/>
      <c r="M22" s="95"/>
      <c r="N22" s="95"/>
      <c r="O22" s="97"/>
      <c r="P22" s="94"/>
      <c r="Q22" s="60"/>
      <c r="R22" s="58"/>
    </row>
    <row r="23" spans="1:18" s="111" customFormat="1" ht="39" customHeight="1">
      <c r="A23" s="55">
        <v>3</v>
      </c>
      <c r="B23" s="404" t="s">
        <v>395</v>
      </c>
      <c r="C23" s="405"/>
      <c r="D23" s="405"/>
      <c r="E23" s="405"/>
      <c r="F23" s="405"/>
      <c r="G23" s="405"/>
      <c r="H23" s="405"/>
      <c r="I23" s="405"/>
      <c r="J23" s="405"/>
      <c r="K23" s="405"/>
      <c r="L23" s="405"/>
      <c r="M23" s="405"/>
      <c r="N23" s="405"/>
      <c r="O23" s="405"/>
      <c r="P23" s="405"/>
      <c r="Q23" s="405"/>
      <c r="R23" s="406"/>
    </row>
    <row r="24" spans="1:18" s="111" customFormat="1" ht="39" customHeight="1">
      <c r="A24" s="105"/>
      <c r="B24" s="127" t="s">
        <v>206</v>
      </c>
      <c r="C24" s="106"/>
      <c r="D24" s="107"/>
      <c r="E24" s="107"/>
      <c r="F24" s="102"/>
      <c r="G24" s="102"/>
      <c r="H24" s="97"/>
      <c r="I24" s="103" t="s">
        <v>387</v>
      </c>
      <c r="J24" s="107"/>
      <c r="K24" s="108"/>
      <c r="L24" s="106"/>
      <c r="M24" s="95"/>
      <c r="N24" s="95"/>
      <c r="O24" s="97"/>
      <c r="P24" s="109"/>
      <c r="Q24" s="110"/>
      <c r="R24" s="107"/>
    </row>
    <row r="25" spans="1:18" s="111" customFormat="1" ht="39" customHeight="1">
      <c r="A25" s="105"/>
      <c r="B25" s="127" t="s">
        <v>396</v>
      </c>
      <c r="C25" s="106"/>
      <c r="D25" s="107"/>
      <c r="E25" s="107"/>
      <c r="F25" s="102"/>
      <c r="G25" s="102"/>
      <c r="H25" s="97"/>
      <c r="I25" s="103" t="s">
        <v>387</v>
      </c>
      <c r="J25" s="107"/>
      <c r="K25" s="108"/>
      <c r="L25" s="106"/>
      <c r="M25" s="95"/>
      <c r="N25" s="95"/>
      <c r="O25" s="97"/>
      <c r="P25" s="109"/>
      <c r="Q25" s="110"/>
      <c r="R25" s="107"/>
    </row>
    <row r="26" spans="1:18" s="111" customFormat="1" ht="39" customHeight="1">
      <c r="A26" s="105"/>
      <c r="B26" s="127" t="s">
        <v>397</v>
      </c>
      <c r="C26" s="106"/>
      <c r="D26" s="107"/>
      <c r="E26" s="107"/>
      <c r="F26" s="102"/>
      <c r="G26" s="102"/>
      <c r="H26" s="97"/>
      <c r="I26" s="103" t="s">
        <v>387</v>
      </c>
      <c r="J26" s="107"/>
      <c r="K26" s="108"/>
      <c r="L26" s="106"/>
      <c r="M26" s="95"/>
      <c r="N26" s="95"/>
      <c r="O26" s="97"/>
      <c r="P26" s="109"/>
      <c r="Q26" s="110"/>
      <c r="R26" s="107"/>
    </row>
    <row r="27" spans="1:18" s="111" customFormat="1" ht="39" customHeight="1">
      <c r="A27" s="105"/>
      <c r="B27" s="127" t="s">
        <v>218</v>
      </c>
      <c r="C27" s="106"/>
      <c r="D27" s="107"/>
      <c r="E27" s="107"/>
      <c r="F27" s="102"/>
      <c r="G27" s="102"/>
      <c r="H27" s="97"/>
      <c r="I27" s="103" t="s">
        <v>387</v>
      </c>
      <c r="J27" s="107"/>
      <c r="K27" s="108"/>
      <c r="L27" s="106"/>
      <c r="M27" s="95"/>
      <c r="N27" s="95"/>
      <c r="O27" s="97"/>
      <c r="P27" s="109"/>
      <c r="Q27" s="110"/>
      <c r="R27" s="107"/>
    </row>
    <row r="28" spans="1:18" s="111" customFormat="1" ht="39" customHeight="1">
      <c r="A28" s="105"/>
      <c r="B28" s="127" t="s">
        <v>212</v>
      </c>
      <c r="C28" s="106"/>
      <c r="D28" s="107"/>
      <c r="E28" s="107"/>
      <c r="F28" s="102"/>
      <c r="G28" s="102"/>
      <c r="H28" s="97"/>
      <c r="I28" s="103" t="s">
        <v>387</v>
      </c>
      <c r="J28" s="107"/>
      <c r="K28" s="108"/>
      <c r="L28" s="106"/>
      <c r="M28" s="95"/>
      <c r="N28" s="95"/>
      <c r="O28" s="97"/>
      <c r="P28" s="109"/>
      <c r="Q28" s="110"/>
      <c r="R28" s="107"/>
    </row>
    <row r="29" spans="1:18" s="111" customFormat="1" ht="52.8">
      <c r="A29" s="105"/>
      <c r="B29" s="127" t="s">
        <v>398</v>
      </c>
      <c r="C29" s="106"/>
      <c r="D29" s="107"/>
      <c r="E29" s="107"/>
      <c r="F29" s="102"/>
      <c r="G29" s="102"/>
      <c r="H29" s="97"/>
      <c r="I29" s="103" t="s">
        <v>387</v>
      </c>
      <c r="J29" s="107"/>
      <c r="K29" s="108"/>
      <c r="L29" s="106"/>
      <c r="M29" s="95"/>
      <c r="N29" s="95"/>
      <c r="O29" s="97"/>
      <c r="P29" s="109"/>
      <c r="Q29" s="110"/>
      <c r="R29" s="107"/>
    </row>
    <row r="59" spans="13:14" ht="21">
      <c r="M59" s="117"/>
      <c r="N59" s="117"/>
    </row>
    <row r="60" spans="13:14" ht="21">
      <c r="M60" s="117"/>
      <c r="N60" s="117"/>
    </row>
  </sheetData>
  <sortState xmlns:xlrd2="http://schemas.microsoft.com/office/spreadsheetml/2017/richdata2" ref="A4:WSM12">
    <sortCondition ref="A4:A12"/>
  </sortState>
  <dataConsolidate/>
  <mergeCells count="10">
    <mergeCell ref="B6:O6"/>
    <mergeCell ref="B13:O13"/>
    <mergeCell ref="Q4:R4"/>
    <mergeCell ref="B23:R23"/>
    <mergeCell ref="A3:R3"/>
    <mergeCell ref="A4:C4"/>
    <mergeCell ref="D4:E4"/>
    <mergeCell ref="M4:O4"/>
    <mergeCell ref="F4:H4"/>
    <mergeCell ref="J4:K4"/>
  </mergeCells>
  <phoneticPr fontId="0" type="noConversion"/>
  <conditionalFormatting sqref="O3 O5 O24:O1048576 H24:H1048576 H3:H5 H14:H22 O14:O22">
    <cfRule type="cellIs" dxfId="71" priority="121" operator="equal">
      <formula>"High"</formula>
    </cfRule>
    <cfRule type="cellIs" dxfId="70" priority="122" operator="equal">
      <formula>"Medium"</formula>
    </cfRule>
    <cfRule type="cellIs" dxfId="69" priority="173" operator="equal">
      <formula>"Extreme"</formula>
    </cfRule>
  </conditionalFormatting>
  <conditionalFormatting sqref="I5">
    <cfRule type="cellIs" dxfId="68" priority="118" operator="equal">
      <formula>"High"</formula>
    </cfRule>
    <cfRule type="cellIs" dxfId="67" priority="119" operator="equal">
      <formula>"Medium"</formula>
    </cfRule>
    <cfRule type="cellIs" dxfId="66" priority="120" operator="equal">
      <formula>"Extreme"</formula>
    </cfRule>
  </conditionalFormatting>
  <conditionalFormatting sqref="I24">
    <cfRule type="cellIs" dxfId="65" priority="61" operator="equal">
      <formula>"High"</formula>
    </cfRule>
    <cfRule type="cellIs" dxfId="64" priority="62" operator="equal">
      <formula>"Medium"</formula>
    </cfRule>
    <cfRule type="cellIs" dxfId="63" priority="63" operator="equal">
      <formula>"Extreme"</formula>
    </cfRule>
  </conditionalFormatting>
  <conditionalFormatting sqref="I14">
    <cfRule type="cellIs" dxfId="62" priority="82" operator="equal">
      <formula>"High"</formula>
    </cfRule>
    <cfRule type="cellIs" dxfId="61" priority="83" operator="equal">
      <formula>"Medium"</formula>
    </cfRule>
    <cfRule type="cellIs" dxfId="60" priority="84" operator="equal">
      <formula>"Extreme"</formula>
    </cfRule>
  </conditionalFormatting>
  <conditionalFormatting sqref="I15">
    <cfRule type="cellIs" dxfId="59" priority="79" operator="equal">
      <formula>"High"</formula>
    </cfRule>
    <cfRule type="cellIs" dxfId="58" priority="80" operator="equal">
      <formula>"Medium"</formula>
    </cfRule>
    <cfRule type="cellIs" dxfId="57" priority="81" operator="equal">
      <formula>"Extreme"</formula>
    </cfRule>
  </conditionalFormatting>
  <conditionalFormatting sqref="I16">
    <cfRule type="cellIs" dxfId="56" priority="76" operator="equal">
      <formula>"High"</formula>
    </cfRule>
    <cfRule type="cellIs" dxfId="55" priority="77" operator="equal">
      <formula>"Medium"</formula>
    </cfRule>
    <cfRule type="cellIs" dxfId="54" priority="78" operator="equal">
      <formula>"Extreme"</formula>
    </cfRule>
  </conditionalFormatting>
  <conditionalFormatting sqref="I17">
    <cfRule type="cellIs" dxfId="53" priority="73" operator="equal">
      <formula>"High"</formula>
    </cfRule>
    <cfRule type="cellIs" dxfId="52" priority="74" operator="equal">
      <formula>"Medium"</formula>
    </cfRule>
    <cfRule type="cellIs" dxfId="51" priority="75" operator="equal">
      <formula>"Extreme"</formula>
    </cfRule>
  </conditionalFormatting>
  <conditionalFormatting sqref="I18">
    <cfRule type="cellIs" dxfId="50" priority="70" operator="equal">
      <formula>"High"</formula>
    </cfRule>
    <cfRule type="cellIs" dxfId="49" priority="71" operator="equal">
      <formula>"Medium"</formula>
    </cfRule>
    <cfRule type="cellIs" dxfId="48" priority="72" operator="equal">
      <formula>"Extreme"</formula>
    </cfRule>
  </conditionalFormatting>
  <conditionalFormatting sqref="I19">
    <cfRule type="cellIs" dxfId="47" priority="67" operator="equal">
      <formula>"High"</formula>
    </cfRule>
    <cfRule type="cellIs" dxfId="46" priority="68" operator="equal">
      <formula>"Medium"</formula>
    </cfRule>
    <cfRule type="cellIs" dxfId="45" priority="69" operator="equal">
      <formula>"Extreme"</formula>
    </cfRule>
  </conditionalFormatting>
  <conditionalFormatting sqref="I20:I22">
    <cfRule type="cellIs" dxfId="44" priority="64" operator="equal">
      <formula>"High"</formula>
    </cfRule>
    <cfRule type="cellIs" dxfId="43" priority="65" operator="equal">
      <formula>"Medium"</formula>
    </cfRule>
    <cfRule type="cellIs" dxfId="42" priority="66" operator="equal">
      <formula>"Extreme"</formula>
    </cfRule>
  </conditionalFormatting>
  <conditionalFormatting sqref="I25">
    <cfRule type="cellIs" dxfId="41" priority="58" operator="equal">
      <formula>"High"</formula>
    </cfRule>
    <cfRule type="cellIs" dxfId="40" priority="59" operator="equal">
      <formula>"Medium"</formula>
    </cfRule>
    <cfRule type="cellIs" dxfId="39" priority="60" operator="equal">
      <formula>"Extreme"</formula>
    </cfRule>
  </conditionalFormatting>
  <conditionalFormatting sqref="I26">
    <cfRule type="cellIs" dxfId="38" priority="52" operator="equal">
      <formula>"High"</formula>
    </cfRule>
    <cfRule type="cellIs" dxfId="37" priority="53" operator="equal">
      <formula>"Medium"</formula>
    </cfRule>
    <cfRule type="cellIs" dxfId="36" priority="54" operator="equal">
      <formula>"Extreme"</formula>
    </cfRule>
  </conditionalFormatting>
  <conditionalFormatting sqref="I27">
    <cfRule type="cellIs" dxfId="35" priority="49" operator="equal">
      <formula>"High"</formula>
    </cfRule>
    <cfRule type="cellIs" dxfId="34" priority="50" operator="equal">
      <formula>"Medium"</formula>
    </cfRule>
    <cfRule type="cellIs" dxfId="33" priority="51" operator="equal">
      <formula>"Extreme"</formula>
    </cfRule>
  </conditionalFormatting>
  <conditionalFormatting sqref="I28">
    <cfRule type="cellIs" dxfId="32" priority="46" operator="equal">
      <formula>"High"</formula>
    </cfRule>
    <cfRule type="cellIs" dxfId="31" priority="47" operator="equal">
      <formula>"Medium"</formula>
    </cfRule>
    <cfRule type="cellIs" dxfId="30" priority="48" operator="equal">
      <formula>"Extreme"</formula>
    </cfRule>
  </conditionalFormatting>
  <conditionalFormatting sqref="I29">
    <cfRule type="cellIs" dxfId="29" priority="43" operator="equal">
      <formula>"High"</formula>
    </cfRule>
    <cfRule type="cellIs" dxfId="28" priority="44" operator="equal">
      <formula>"Medium"</formula>
    </cfRule>
    <cfRule type="cellIs" dxfId="27" priority="45" operator="equal">
      <formula>"Extreme"</formula>
    </cfRule>
  </conditionalFormatting>
  <conditionalFormatting sqref="H7:H12">
    <cfRule type="cellIs" dxfId="26" priority="28" operator="equal">
      <formula>"High"</formula>
    </cfRule>
    <cfRule type="cellIs" dxfId="25" priority="29" operator="equal">
      <formula>"Medium"</formula>
    </cfRule>
    <cfRule type="cellIs" dxfId="24" priority="30" operator="equal">
      <formula>"Extreme"</formula>
    </cfRule>
  </conditionalFormatting>
  <conditionalFormatting sqref="I7:I12">
    <cfRule type="cellIs" dxfId="23" priority="25" operator="equal">
      <formula>"High"</formula>
    </cfRule>
    <cfRule type="cellIs" dxfId="22" priority="26" operator="equal">
      <formula>"Medium"</formula>
    </cfRule>
    <cfRule type="cellIs" dxfId="21" priority="27" operator="equal">
      <formula>"Extreme"</formula>
    </cfRule>
  </conditionalFormatting>
  <conditionalFormatting sqref="O7:O12">
    <cfRule type="cellIs" dxfId="20" priority="19" operator="equal">
      <formula>"High"</formula>
    </cfRule>
    <cfRule type="cellIs" dxfId="19" priority="20" operator="equal">
      <formula>"Medium"</formula>
    </cfRule>
    <cfRule type="cellIs" dxfId="18" priority="21" operator="equal">
      <formula>"Extreme"</formula>
    </cfRule>
  </conditionalFormatting>
  <conditionalFormatting sqref="H8">
    <cfRule type="cellIs" dxfId="17" priority="16" operator="equal">
      <formula>"High"</formula>
    </cfRule>
    <cfRule type="cellIs" dxfId="16" priority="17" operator="equal">
      <formula>"Medium"</formula>
    </cfRule>
    <cfRule type="cellIs" dxfId="15" priority="18" operator="equal">
      <formula>"Extreme"</formula>
    </cfRule>
  </conditionalFormatting>
  <conditionalFormatting sqref="I8">
    <cfRule type="cellIs" dxfId="14" priority="13" operator="equal">
      <formula>"High"</formula>
    </cfRule>
    <cfRule type="cellIs" dxfId="13" priority="14" operator="equal">
      <formula>"Medium"</formula>
    </cfRule>
    <cfRule type="cellIs" dxfId="12" priority="15" operator="equal">
      <formula>"Extreme"</formula>
    </cfRule>
  </conditionalFormatting>
  <conditionalFormatting sqref="O8">
    <cfRule type="cellIs" dxfId="11" priority="10" operator="equal">
      <formula>"High"</formula>
    </cfRule>
    <cfRule type="cellIs" dxfId="10" priority="11" operator="equal">
      <formula>"Medium"</formula>
    </cfRule>
    <cfRule type="cellIs" dxfId="9" priority="12" operator="equal">
      <formula>"Extreme"</formula>
    </cfRule>
  </conditionalFormatting>
  <conditionalFormatting sqref="H9:H12">
    <cfRule type="cellIs" dxfId="8" priority="7" operator="equal">
      <formula>"High"</formula>
    </cfRule>
    <cfRule type="cellIs" dxfId="7" priority="8" operator="equal">
      <formula>"Medium"</formula>
    </cfRule>
    <cfRule type="cellIs" dxfId="6" priority="9" operator="equal">
      <formula>"Extreme"</formula>
    </cfRule>
  </conditionalFormatting>
  <conditionalFormatting sqref="I9:I12">
    <cfRule type="cellIs" dxfId="5" priority="4" operator="equal">
      <formula>"High"</formula>
    </cfRule>
    <cfRule type="cellIs" dxfId="4" priority="5" operator="equal">
      <formula>"Medium"</formula>
    </cfRule>
    <cfRule type="cellIs" dxfId="3" priority="6" operator="equal">
      <formula>"Extreme"</formula>
    </cfRule>
  </conditionalFormatting>
  <conditionalFormatting sqref="O9:O12">
    <cfRule type="cellIs" dxfId="2" priority="1" operator="equal">
      <formula>"High"</formula>
    </cfRule>
    <cfRule type="cellIs" dxfId="1" priority="2" operator="equal">
      <formula>"Medium"</formula>
    </cfRule>
    <cfRule type="cellIs" dxfId="0" priority="3" operator="equal">
      <formula>"Extreme"</formula>
    </cfRule>
  </conditionalFormatting>
  <dataValidations count="4">
    <dataValidation type="list" allowBlank="1" showInputMessage="1" showErrorMessage="1" sqref="I24:I29 I14:I22" xr:uid="{FB22F1C0-7C1D-496D-A72B-5BD6CFBC7B47}">
      <formula1>"Rules/procedures, Training, Supervision, Exclusi, Substitution, Reassessment"</formula1>
    </dataValidation>
    <dataValidation type="list" allowBlank="1" showInputMessage="1" showErrorMessage="1" sqref="F24:F29 M24:M29 F14:F22 M14:M22" xr:uid="{E6C99568-E3CA-4997-9A79-815FBA74C42B}">
      <formula1>"Certain, Likely, Possible, Unlikey, Rare"</formula1>
    </dataValidation>
    <dataValidation type="list" allowBlank="1" showInputMessage="1" showErrorMessage="1" sqref="G24:G29 N24:N29 G14:G22 N14:N22" xr:uid="{73AB441A-5B15-4C4F-A44B-8BCCFB3A8609}">
      <formula1>"Insignificant, Minor, Moderate, Serious, Catastrophic"</formula1>
    </dataValidation>
    <dataValidation type="list" allowBlank="1" showInputMessage="1" showErrorMessage="1" sqref="H24:H29 O24:O29 H14:H22 O14:O22" xr:uid="{D0EAF896-1334-4E58-876F-2655450F5596}">
      <formula1>"(CI), (CMi), (CMo), (CSe), (CC), (LSi), (LMi), (LMo), (LSe), (LC), (PI), (PMi), (PMo), (PSe), (PC), (UI), (UMi), (UMo), (USe), (UC(RI), (RMi), (RMo), (RSe), (RC)"</formula1>
    </dataValidation>
  </dataValidations>
  <pageMargins left="0.70866141732283472" right="0.23622047244094491" top="0.74803149606299213" bottom="0.74803149606299213" header="0.31496062992125984" footer="0.31496062992125984"/>
  <pageSetup paperSize="9" scale="40" fitToHeight="2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DBFD1-E3A0-4F2D-AD2B-83096DA8F774}">
  <sheetPr codeName="Feuil4">
    <pageSetUpPr fitToPage="1"/>
  </sheetPr>
  <dimension ref="A1:F26"/>
  <sheetViews>
    <sheetView zoomScale="85" zoomScaleNormal="85" workbookViewId="0">
      <selection activeCell="B17" sqref="B17"/>
    </sheetView>
  </sheetViews>
  <sheetFormatPr defaultColWidth="8.6640625" defaultRowHeight="13.2"/>
  <cols>
    <col min="1" max="1" width="30.44140625" customWidth="1"/>
    <col min="2" max="2" width="82.6640625" customWidth="1"/>
  </cols>
  <sheetData>
    <row r="1" spans="1:6" ht="21">
      <c r="A1" s="421" t="s">
        <v>399</v>
      </c>
      <c r="B1" s="421"/>
    </row>
    <row r="2" spans="1:6">
      <c r="A2" s="422" t="s">
        <v>400</v>
      </c>
      <c r="B2" s="423"/>
    </row>
    <row r="3" spans="1:6">
      <c r="A3" s="61"/>
    </row>
    <row r="4" spans="1:6" s="3" customFormat="1" ht="30" customHeight="1">
      <c r="A4" s="80" t="s">
        <v>401</v>
      </c>
      <c r="B4" s="76" t="s">
        <v>402</v>
      </c>
    </row>
    <row r="5" spans="1:6" s="3" customFormat="1" ht="30" customHeight="1">
      <c r="A5" s="79" t="s">
        <v>403</v>
      </c>
      <c r="B5" s="75" t="s">
        <v>404</v>
      </c>
    </row>
    <row r="6" spans="1:6" s="3" customFormat="1" ht="10.199999999999999" customHeight="1">
      <c r="A6" s="66"/>
      <c r="B6" s="73"/>
    </row>
    <row r="7" spans="1:6" s="3" customFormat="1" ht="30" customHeight="1">
      <c r="A7" s="126" t="s">
        <v>405</v>
      </c>
      <c r="B7" s="74" t="s">
        <v>406</v>
      </c>
    </row>
    <row r="8" spans="1:6" s="3" customFormat="1" ht="30" customHeight="1">
      <c r="A8" s="80" t="s">
        <v>407</v>
      </c>
      <c r="B8" s="75" t="s">
        <v>408</v>
      </c>
    </row>
    <row r="9" spans="1:6" s="3" customFormat="1" ht="30" customHeight="1">
      <c r="A9" s="79" t="s">
        <v>409</v>
      </c>
      <c r="B9" s="76" t="s">
        <v>410</v>
      </c>
    </row>
    <row r="10" spans="1:6" s="3" customFormat="1" ht="10.199999999999999" customHeight="1">
      <c r="A10" s="66"/>
      <c r="B10" s="66"/>
    </row>
    <row r="11" spans="1:6" s="3" customFormat="1" ht="38.4" customHeight="1">
      <c r="A11" s="126" t="s">
        <v>411</v>
      </c>
      <c r="B11" s="126" t="s">
        <v>412</v>
      </c>
      <c r="F11" s="62"/>
    </row>
    <row r="12" spans="1:6" s="3" customFormat="1" ht="32.85" customHeight="1">
      <c r="A12" s="80"/>
      <c r="B12" s="80" t="s">
        <v>413</v>
      </c>
      <c r="F12" s="62"/>
    </row>
    <row r="13" spans="1:6" s="3" customFormat="1" ht="39.450000000000003" customHeight="1">
      <c r="A13" s="80"/>
      <c r="B13" s="80" t="s">
        <v>414</v>
      </c>
      <c r="F13" s="62"/>
    </row>
    <row r="14" spans="1:6" s="3" customFormat="1" ht="21.9" customHeight="1">
      <c r="A14" s="79"/>
      <c r="B14" s="81" t="s">
        <v>415</v>
      </c>
      <c r="F14" s="62"/>
    </row>
    <row r="15" spans="1:6" s="3" customFormat="1" ht="10.199999999999999" customHeight="1">
      <c r="A15" s="66"/>
      <c r="B15" s="71"/>
      <c r="F15" s="62"/>
    </row>
    <row r="16" spans="1:6" s="3" customFormat="1" ht="19.350000000000001" customHeight="1">
      <c r="A16" s="126" t="s">
        <v>416</v>
      </c>
      <c r="B16" s="126" t="s">
        <v>417</v>
      </c>
      <c r="F16" s="62"/>
    </row>
    <row r="17" spans="1:6" s="3" customFormat="1" ht="76.95" customHeight="1">
      <c r="A17" s="80"/>
      <c r="B17" s="82" t="s">
        <v>418</v>
      </c>
      <c r="F17" s="62"/>
    </row>
    <row r="18" spans="1:6" s="3" customFormat="1" ht="10.199999999999999" customHeight="1">
      <c r="A18" s="66"/>
      <c r="B18" s="72"/>
    </row>
    <row r="19" spans="1:6" s="3" customFormat="1" ht="30" customHeight="1">
      <c r="A19" s="126" t="s">
        <v>419</v>
      </c>
      <c r="B19" s="76" t="s">
        <v>402</v>
      </c>
    </row>
    <row r="20" spans="1:6" s="3" customFormat="1" ht="27.75" customHeight="1">
      <c r="A20" s="80" t="s">
        <v>420</v>
      </c>
      <c r="B20" s="75" t="s">
        <v>404</v>
      </c>
    </row>
    <row r="21" spans="1:6" s="3" customFormat="1" ht="47.25" customHeight="1">
      <c r="A21" s="83" t="s">
        <v>421</v>
      </c>
      <c r="B21" s="78" t="s">
        <v>422</v>
      </c>
    </row>
    <row r="22" spans="1:6" s="3" customFormat="1" ht="79.2" customHeight="1">
      <c r="A22" s="69" t="s">
        <v>423</v>
      </c>
      <c r="B22" s="77" t="s">
        <v>424</v>
      </c>
    </row>
    <row r="23" spans="1:6" ht="76.5" customHeight="1">
      <c r="A23" s="70" t="s">
        <v>425</v>
      </c>
      <c r="B23" s="77" t="s">
        <v>426</v>
      </c>
    </row>
    <row r="24" spans="1:6" ht="85.2" customHeight="1">
      <c r="A24" s="67" t="s">
        <v>427</v>
      </c>
      <c r="B24" s="77" t="s">
        <v>428</v>
      </c>
    </row>
    <row r="25" spans="1:6" ht="85.2" customHeight="1">
      <c r="A25" s="68" t="s">
        <v>429</v>
      </c>
      <c r="B25" s="77" t="s">
        <v>430</v>
      </c>
    </row>
    <row r="26" spans="1:6" ht="18" customHeight="1"/>
  </sheetData>
  <mergeCells count="2">
    <mergeCell ref="A1:B1"/>
    <mergeCell ref="A2:B2"/>
  </mergeCells>
  <printOptions horizontalCentered="1"/>
  <pageMargins left="0.70866141732283472" right="0.70866141732283472" top="0.95406250000000004" bottom="0.74803149606299213" header="0.62992125984251968" footer="0.31496062992125984"/>
  <pageSetup paperSize="9" scale="78"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39"/>
  <sheetViews>
    <sheetView topLeftCell="A14" workbookViewId="0">
      <selection activeCell="G15" sqref="G15"/>
    </sheetView>
  </sheetViews>
  <sheetFormatPr defaultColWidth="8.6640625" defaultRowHeight="13.2" outlineLevelRow="1"/>
  <sheetData>
    <row r="1" spans="1:20" s="2" customFormat="1" ht="67.5" customHeight="1" outlineLevel="1">
      <c r="A1" s="16" t="s">
        <v>385</v>
      </c>
      <c r="B1" s="18" t="s">
        <v>431</v>
      </c>
      <c r="C1" s="7" t="s">
        <v>432</v>
      </c>
      <c r="D1" s="17" t="s">
        <v>433</v>
      </c>
      <c r="E1" s="17" t="s">
        <v>434</v>
      </c>
      <c r="F1" s="19">
        <v>3</v>
      </c>
      <c r="G1" s="19">
        <v>3</v>
      </c>
      <c r="H1" s="17" t="s">
        <v>435</v>
      </c>
      <c r="I1" s="11" t="s">
        <v>436</v>
      </c>
      <c r="J1" s="7" t="s">
        <v>437</v>
      </c>
      <c r="K1" s="7" t="s">
        <v>437</v>
      </c>
      <c r="L1" s="19">
        <v>2</v>
      </c>
      <c r="M1" s="19">
        <v>2</v>
      </c>
      <c r="N1" s="8" t="s">
        <v>438</v>
      </c>
      <c r="O1" s="15"/>
      <c r="P1" s="27" t="s">
        <v>439</v>
      </c>
      <c r="Q1" s="26" t="s">
        <v>440</v>
      </c>
      <c r="R1" s="10" t="s">
        <v>441</v>
      </c>
      <c r="S1" s="10" t="s">
        <v>441</v>
      </c>
      <c r="T1" s="10" t="s">
        <v>441</v>
      </c>
    </row>
    <row r="2" spans="1:20" s="2" customFormat="1" ht="82.5" customHeight="1" outlineLevel="1">
      <c r="A2" s="16" t="s">
        <v>442</v>
      </c>
      <c r="B2" s="18" t="s">
        <v>443</v>
      </c>
      <c r="C2" s="7" t="s">
        <v>432</v>
      </c>
      <c r="D2" s="17" t="s">
        <v>433</v>
      </c>
      <c r="E2" s="17" t="s">
        <v>444</v>
      </c>
      <c r="F2" s="19">
        <v>3</v>
      </c>
      <c r="G2" s="19">
        <v>3</v>
      </c>
      <c r="H2" s="17" t="s">
        <v>435</v>
      </c>
      <c r="I2" s="11" t="s">
        <v>436</v>
      </c>
      <c r="J2" s="28" t="s">
        <v>445</v>
      </c>
      <c r="K2" s="28" t="s">
        <v>445</v>
      </c>
      <c r="L2" s="19">
        <v>2</v>
      </c>
      <c r="M2" s="19">
        <v>2</v>
      </c>
      <c r="N2" s="17" t="s">
        <v>438</v>
      </c>
      <c r="O2" s="15"/>
      <c r="P2" s="27" t="s">
        <v>446</v>
      </c>
      <c r="Q2" s="26" t="s">
        <v>440</v>
      </c>
      <c r="R2" s="10" t="s">
        <v>441</v>
      </c>
      <c r="S2" s="10" t="s">
        <v>441</v>
      </c>
      <c r="T2" s="10" t="s">
        <v>441</v>
      </c>
    </row>
    <row r="3" spans="1:20" s="2" customFormat="1" ht="70.5" customHeight="1" outlineLevel="1">
      <c r="A3" s="16" t="s">
        <v>447</v>
      </c>
      <c r="B3" s="18" t="s">
        <v>448</v>
      </c>
      <c r="C3" s="7" t="s">
        <v>449</v>
      </c>
      <c r="D3" s="17" t="s">
        <v>433</v>
      </c>
      <c r="E3" s="17" t="s">
        <v>450</v>
      </c>
      <c r="F3" s="19">
        <v>5</v>
      </c>
      <c r="G3" s="19">
        <v>4</v>
      </c>
      <c r="H3" s="17" t="s">
        <v>451</v>
      </c>
      <c r="I3" s="11" t="s">
        <v>452</v>
      </c>
      <c r="J3" s="27" t="s">
        <v>453</v>
      </c>
      <c r="K3" s="27" t="s">
        <v>453</v>
      </c>
      <c r="L3" s="19">
        <v>3</v>
      </c>
      <c r="M3" s="19">
        <v>4</v>
      </c>
      <c r="N3" s="17" t="s">
        <v>451</v>
      </c>
      <c r="O3" s="15"/>
      <c r="P3" s="27" t="s">
        <v>454</v>
      </c>
      <c r="Q3" s="26" t="s">
        <v>455</v>
      </c>
      <c r="R3" s="10"/>
      <c r="S3" s="10"/>
      <c r="T3" s="10" t="s">
        <v>441</v>
      </c>
    </row>
    <row r="4" spans="1:20" s="2" customFormat="1" ht="96.75" customHeight="1" outlineLevel="1">
      <c r="A4" s="16" t="s">
        <v>456</v>
      </c>
      <c r="B4" s="18" t="s">
        <v>457</v>
      </c>
      <c r="C4" s="7" t="s">
        <v>432</v>
      </c>
      <c r="D4" s="17" t="s">
        <v>433</v>
      </c>
      <c r="E4" s="17" t="s">
        <v>458</v>
      </c>
      <c r="F4" s="19">
        <v>5</v>
      </c>
      <c r="G4" s="19">
        <v>4</v>
      </c>
      <c r="H4" s="17" t="s">
        <v>451</v>
      </c>
      <c r="I4" s="11" t="s">
        <v>452</v>
      </c>
      <c r="J4" s="27" t="s">
        <v>459</v>
      </c>
      <c r="K4" s="27" t="s">
        <v>459</v>
      </c>
      <c r="L4" s="19">
        <v>3</v>
      </c>
      <c r="M4" s="19">
        <v>3</v>
      </c>
      <c r="N4" s="17" t="s">
        <v>435</v>
      </c>
      <c r="O4" s="4"/>
      <c r="P4" s="27" t="s">
        <v>460</v>
      </c>
      <c r="Q4" s="26" t="s">
        <v>461</v>
      </c>
      <c r="R4" s="10"/>
      <c r="S4" s="10"/>
      <c r="T4" s="10" t="s">
        <v>441</v>
      </c>
    </row>
    <row r="5" spans="1:20" s="53" customFormat="1" ht="72" customHeight="1" outlineLevel="1" thickBot="1">
      <c r="A5" s="41" t="s">
        <v>462</v>
      </c>
      <c r="B5" s="42" t="s">
        <v>463</v>
      </c>
      <c r="C5" s="43" t="s">
        <v>464</v>
      </c>
      <c r="D5" s="44" t="s">
        <v>433</v>
      </c>
      <c r="E5" s="44" t="s">
        <v>465</v>
      </c>
      <c r="F5" s="45">
        <v>2</v>
      </c>
      <c r="G5" s="45">
        <v>5</v>
      </c>
      <c r="H5" s="44" t="s">
        <v>435</v>
      </c>
      <c r="I5" s="46"/>
      <c r="J5" s="43" t="s">
        <v>466</v>
      </c>
      <c r="K5" s="43" t="s">
        <v>466</v>
      </c>
      <c r="L5" s="47">
        <v>2</v>
      </c>
      <c r="M5" s="45">
        <v>2</v>
      </c>
      <c r="N5" s="48" t="s">
        <v>438</v>
      </c>
      <c r="O5" s="49"/>
      <c r="P5" s="50" t="s">
        <v>467</v>
      </c>
      <c r="Q5" s="51" t="s">
        <v>440</v>
      </c>
      <c r="R5" s="52"/>
      <c r="S5" s="52"/>
      <c r="T5" s="52" t="s">
        <v>441</v>
      </c>
    </row>
    <row r="6" spans="1:20" s="38" customFormat="1" ht="126.75" customHeight="1" outlineLevel="1">
      <c r="A6" s="427" t="s">
        <v>377</v>
      </c>
      <c r="B6" s="424" t="s">
        <v>468</v>
      </c>
      <c r="C6" s="430" t="s">
        <v>469</v>
      </c>
      <c r="D6" s="438" t="s">
        <v>433</v>
      </c>
      <c r="E6" s="438" t="s">
        <v>470</v>
      </c>
      <c r="F6" s="32">
        <v>3</v>
      </c>
      <c r="G6" s="32">
        <v>4</v>
      </c>
      <c r="H6" s="33" t="s">
        <v>471</v>
      </c>
      <c r="I6" s="34" t="s">
        <v>436</v>
      </c>
      <c r="J6" s="35" t="s">
        <v>472</v>
      </c>
      <c r="K6" s="35" t="s">
        <v>473</v>
      </c>
      <c r="L6" s="32">
        <v>3</v>
      </c>
      <c r="M6" s="32">
        <v>2</v>
      </c>
      <c r="N6" s="33" t="s">
        <v>435</v>
      </c>
      <c r="O6" s="36"/>
      <c r="P6" s="35" t="s">
        <v>474</v>
      </c>
      <c r="Q6" s="33" t="s">
        <v>475</v>
      </c>
      <c r="R6" s="37" t="s">
        <v>441</v>
      </c>
      <c r="S6" s="37" t="s">
        <v>441</v>
      </c>
      <c r="T6" s="37" t="s">
        <v>441</v>
      </c>
    </row>
    <row r="7" spans="1:20" s="38" customFormat="1" ht="39" customHeight="1" outlineLevel="1">
      <c r="A7" s="428"/>
      <c r="B7" s="425"/>
      <c r="C7" s="425"/>
      <c r="D7" s="442"/>
      <c r="E7" s="442"/>
      <c r="F7" s="32">
        <v>3</v>
      </c>
      <c r="G7" s="32">
        <v>4</v>
      </c>
      <c r="H7" s="33" t="s">
        <v>471</v>
      </c>
      <c r="I7" s="34" t="s">
        <v>436</v>
      </c>
      <c r="J7" s="35" t="s">
        <v>476</v>
      </c>
      <c r="K7" s="35" t="s">
        <v>476</v>
      </c>
      <c r="L7" s="32">
        <v>3</v>
      </c>
      <c r="M7" s="32">
        <v>2</v>
      </c>
      <c r="N7" s="33" t="s">
        <v>435</v>
      </c>
      <c r="O7" s="36"/>
      <c r="P7" s="39" t="s">
        <v>477</v>
      </c>
      <c r="Q7" s="39" t="s">
        <v>477</v>
      </c>
      <c r="R7" s="40"/>
      <c r="S7" s="40"/>
      <c r="T7" s="40" t="s">
        <v>441</v>
      </c>
    </row>
    <row r="8" spans="1:20" s="38" customFormat="1" ht="22.5" customHeight="1" outlineLevel="1">
      <c r="A8" s="428"/>
      <c r="B8" s="425"/>
      <c r="C8" s="425"/>
      <c r="D8" s="442"/>
      <c r="E8" s="442"/>
      <c r="F8" s="437">
        <v>3</v>
      </c>
      <c r="G8" s="437">
        <v>4</v>
      </c>
      <c r="H8" s="438" t="s">
        <v>471</v>
      </c>
      <c r="I8" s="446" t="s">
        <v>436</v>
      </c>
      <c r="J8" s="431" t="s">
        <v>478</v>
      </c>
      <c r="K8" s="431" t="s">
        <v>478</v>
      </c>
      <c r="L8" s="437">
        <v>3</v>
      </c>
      <c r="M8" s="437">
        <v>1</v>
      </c>
      <c r="N8" s="438" t="s">
        <v>435</v>
      </c>
      <c r="O8" s="435"/>
      <c r="P8" s="444" t="s">
        <v>479</v>
      </c>
      <c r="Q8" s="433" t="s">
        <v>480</v>
      </c>
      <c r="R8" s="440" t="s">
        <v>441</v>
      </c>
      <c r="S8" s="440" t="s">
        <v>441</v>
      </c>
      <c r="T8" s="440"/>
    </row>
    <row r="9" spans="1:20" s="38" customFormat="1" ht="102.75" customHeight="1" outlineLevel="1">
      <c r="A9" s="429"/>
      <c r="B9" s="426"/>
      <c r="C9" s="426"/>
      <c r="D9" s="434"/>
      <c r="E9" s="434"/>
      <c r="F9" s="434"/>
      <c r="G9" s="434"/>
      <c r="H9" s="439"/>
      <c r="I9" s="447"/>
      <c r="J9" s="432"/>
      <c r="K9" s="432"/>
      <c r="L9" s="443"/>
      <c r="M9" s="443"/>
      <c r="N9" s="434"/>
      <c r="O9" s="436"/>
      <c r="P9" s="445"/>
      <c r="Q9" s="434"/>
      <c r="R9" s="441"/>
      <c r="S9" s="441"/>
      <c r="T9" s="441"/>
    </row>
    <row r="11" spans="1:20" s="1" customFormat="1" ht="92.4">
      <c r="A11" s="6"/>
      <c r="B11" s="25" t="s">
        <v>481</v>
      </c>
      <c r="C11" s="21" t="s">
        <v>482</v>
      </c>
      <c r="D11" s="6"/>
      <c r="E11" s="6"/>
      <c r="F11" s="19"/>
      <c r="G11" s="19"/>
      <c r="H11" s="6"/>
      <c r="I11" s="11"/>
      <c r="J11" s="6"/>
      <c r="K11" s="6"/>
      <c r="L11" s="19"/>
      <c r="M11" s="19"/>
      <c r="N11" s="6"/>
      <c r="O11" s="5"/>
      <c r="P11" s="13"/>
      <c r="Q11" s="6"/>
      <c r="R11" s="14"/>
      <c r="S11" s="14"/>
      <c r="T11" s="14"/>
    </row>
    <row r="12" spans="1:20" s="1" customFormat="1" ht="21">
      <c r="A12" s="6"/>
      <c r="B12" s="20" t="s">
        <v>483</v>
      </c>
      <c r="C12" s="12"/>
      <c r="D12" s="6"/>
      <c r="E12" s="6"/>
      <c r="F12" s="19"/>
      <c r="G12" s="19"/>
      <c r="H12" s="6"/>
      <c r="I12" s="11"/>
      <c r="J12" s="6"/>
      <c r="K12" s="6"/>
      <c r="L12" s="19"/>
      <c r="M12" s="19"/>
      <c r="N12" s="6"/>
      <c r="O12" s="5"/>
      <c r="P12" s="13"/>
      <c r="Q12" s="6"/>
      <c r="R12" s="14"/>
      <c r="S12" s="14"/>
      <c r="T12" s="14"/>
    </row>
    <row r="13" spans="1:20" s="1" customFormat="1" ht="79.2">
      <c r="A13" s="6"/>
      <c r="B13" s="20" t="s">
        <v>484</v>
      </c>
      <c r="C13" s="12"/>
      <c r="D13" s="6"/>
      <c r="E13" s="6"/>
      <c r="F13" s="19"/>
      <c r="G13" s="19"/>
      <c r="H13" s="6"/>
      <c r="I13" s="11"/>
      <c r="J13" s="6"/>
      <c r="K13" s="6"/>
      <c r="L13" s="19"/>
      <c r="M13" s="19"/>
      <c r="N13" s="6"/>
      <c r="O13" s="5"/>
      <c r="P13" s="13"/>
      <c r="Q13" s="6"/>
      <c r="R13" s="14"/>
      <c r="S13" s="14"/>
      <c r="T13" s="14"/>
    </row>
    <row r="14" spans="1:20" s="1" customFormat="1" ht="52.8">
      <c r="A14" s="6"/>
      <c r="B14" s="20" t="s">
        <v>485</v>
      </c>
      <c r="C14" s="12"/>
      <c r="D14" s="6"/>
      <c r="E14" s="6"/>
      <c r="F14" s="19"/>
      <c r="G14" s="19"/>
      <c r="H14" s="6"/>
      <c r="I14" s="11"/>
      <c r="J14" s="6"/>
      <c r="K14" s="6"/>
      <c r="L14" s="19"/>
      <c r="M14" s="19"/>
      <c r="N14" s="6"/>
      <c r="O14" s="5"/>
      <c r="P14" s="13"/>
      <c r="Q14" s="6"/>
      <c r="R14" s="14"/>
      <c r="S14" s="14"/>
      <c r="T14" s="14"/>
    </row>
    <row r="15" spans="1:20" s="1" customFormat="1" ht="21">
      <c r="A15" s="6"/>
      <c r="B15" s="20" t="s">
        <v>486</v>
      </c>
      <c r="C15" s="12"/>
      <c r="D15" s="6"/>
      <c r="E15" s="6"/>
      <c r="F15" s="19"/>
      <c r="G15" s="19"/>
      <c r="H15" s="6"/>
      <c r="I15" s="11"/>
      <c r="J15" s="6"/>
      <c r="K15" s="6"/>
      <c r="L15" s="19"/>
      <c r="M15" s="19"/>
      <c r="N15" s="6"/>
      <c r="O15" s="5"/>
      <c r="P15" s="13"/>
      <c r="Q15" s="6"/>
      <c r="R15" s="14"/>
      <c r="S15" s="14"/>
      <c r="T15" s="14"/>
    </row>
    <row r="16" spans="1:20" s="1" customFormat="1" ht="26.4">
      <c r="A16" s="6"/>
      <c r="B16" s="20" t="s">
        <v>487</v>
      </c>
      <c r="C16" s="12"/>
      <c r="D16" s="6"/>
      <c r="E16" s="6"/>
      <c r="F16" s="19"/>
      <c r="G16" s="19"/>
      <c r="H16" s="6"/>
      <c r="I16" s="11"/>
      <c r="J16" s="6"/>
      <c r="K16" s="6"/>
      <c r="L16" s="19"/>
      <c r="M16" s="19"/>
      <c r="N16" s="6"/>
      <c r="O16" s="5"/>
      <c r="P16" s="13"/>
      <c r="Q16" s="6"/>
      <c r="R16" s="14"/>
      <c r="S16" s="14"/>
      <c r="T16" s="14"/>
    </row>
    <row r="17" spans="1:20" s="1" customFormat="1" ht="66">
      <c r="A17" s="6"/>
      <c r="B17" s="20" t="s">
        <v>488</v>
      </c>
      <c r="C17" s="12"/>
      <c r="D17" s="6"/>
      <c r="E17" s="6"/>
      <c r="F17" s="19"/>
      <c r="G17" s="19"/>
      <c r="H17" s="6"/>
      <c r="I17" s="11"/>
      <c r="J17" s="6"/>
      <c r="K17" s="6"/>
      <c r="L17" s="19"/>
      <c r="M17" s="19"/>
      <c r="N17" s="6"/>
      <c r="O17" s="5"/>
      <c r="P17" s="13"/>
      <c r="Q17" s="6"/>
      <c r="R17" s="14"/>
      <c r="S17" s="14"/>
      <c r="T17" s="14"/>
    </row>
    <row r="18" spans="1:20" s="1" customFormat="1" ht="39.6">
      <c r="A18" s="6"/>
      <c r="B18" s="20" t="s">
        <v>489</v>
      </c>
      <c r="C18" s="12"/>
      <c r="D18" s="6"/>
      <c r="E18" s="6"/>
      <c r="F18" s="19"/>
      <c r="G18" s="19"/>
      <c r="H18" s="6"/>
      <c r="I18" s="11"/>
      <c r="J18" s="6"/>
      <c r="K18" s="6"/>
      <c r="L18" s="19"/>
      <c r="M18" s="19"/>
      <c r="N18" s="6"/>
      <c r="O18" s="5"/>
      <c r="P18" s="13"/>
      <c r="Q18" s="6"/>
      <c r="R18" s="14"/>
      <c r="S18" s="14"/>
      <c r="T18" s="14"/>
    </row>
    <row r="19" spans="1:20" s="1" customFormat="1" ht="66">
      <c r="A19" s="6"/>
      <c r="B19" s="20" t="s">
        <v>490</v>
      </c>
      <c r="C19" s="12"/>
      <c r="D19" s="6"/>
      <c r="E19" s="6"/>
      <c r="F19" s="19"/>
      <c r="G19" s="19"/>
      <c r="H19" s="6"/>
      <c r="I19" s="11"/>
      <c r="J19" s="6"/>
      <c r="K19" s="6"/>
      <c r="L19" s="19"/>
      <c r="M19" s="19"/>
      <c r="N19" s="6"/>
      <c r="O19" s="5"/>
      <c r="P19" s="13"/>
      <c r="Q19" s="6"/>
      <c r="R19" s="14"/>
      <c r="S19" s="14"/>
      <c r="T19" s="14"/>
    </row>
    <row r="20" spans="1:20" s="1" customFormat="1" ht="26.4">
      <c r="A20" s="6"/>
      <c r="B20" s="20" t="s">
        <v>491</v>
      </c>
      <c r="C20" s="12"/>
      <c r="D20" s="6"/>
      <c r="E20" s="6"/>
      <c r="F20" s="19"/>
      <c r="G20" s="19"/>
      <c r="H20" s="6"/>
      <c r="I20" s="11"/>
      <c r="J20" s="6"/>
      <c r="K20" s="6"/>
      <c r="L20" s="19"/>
      <c r="M20" s="19"/>
      <c r="N20" s="6"/>
      <c r="O20" s="5"/>
      <c r="P20" s="13"/>
      <c r="Q20" s="6"/>
      <c r="R20" s="14"/>
      <c r="S20" s="14"/>
      <c r="T20" s="14"/>
    </row>
    <row r="21" spans="1:20" s="1" customFormat="1" ht="52.8">
      <c r="A21" s="6"/>
      <c r="B21" s="20" t="s">
        <v>492</v>
      </c>
      <c r="C21" s="12"/>
      <c r="D21" s="6"/>
      <c r="E21" s="29"/>
      <c r="F21" s="19"/>
      <c r="G21" s="19"/>
      <c r="H21" s="19"/>
      <c r="I21" s="6"/>
      <c r="J21" s="11"/>
      <c r="K21" s="11"/>
      <c r="L21" s="6"/>
      <c r="M21" s="19"/>
      <c r="N21" s="19"/>
      <c r="O21" s="5"/>
      <c r="P21" s="24"/>
      <c r="Q21" s="13"/>
      <c r="R21" s="6"/>
      <c r="S21" s="14"/>
      <c r="T21" s="14"/>
    </row>
    <row r="22" spans="1:20" s="1" customFormat="1" ht="21">
      <c r="A22" s="6"/>
      <c r="B22" s="20" t="s">
        <v>493</v>
      </c>
      <c r="C22" s="12"/>
      <c r="D22" s="6"/>
      <c r="E22" s="6"/>
      <c r="F22" s="30"/>
      <c r="G22" s="19"/>
      <c r="H22" s="19"/>
      <c r="I22" s="6"/>
      <c r="J22" s="11"/>
      <c r="K22" s="11"/>
      <c r="L22" s="6"/>
      <c r="M22" s="19"/>
      <c r="N22" s="19"/>
      <c r="O22" s="5"/>
      <c r="P22" s="24"/>
      <c r="Q22" s="13"/>
      <c r="R22" s="6"/>
      <c r="S22" s="14"/>
      <c r="T22" s="14"/>
    </row>
    <row r="23" spans="1:20" s="1" customFormat="1" ht="52.8">
      <c r="A23" s="6"/>
      <c r="B23" s="20" t="s">
        <v>494</v>
      </c>
      <c r="C23" s="12"/>
      <c r="D23" s="6"/>
      <c r="E23" s="6"/>
      <c r="F23" s="30"/>
      <c r="G23" s="19"/>
      <c r="H23" s="19"/>
      <c r="I23" s="6"/>
      <c r="J23" s="11"/>
      <c r="K23" s="11"/>
      <c r="L23" s="6"/>
      <c r="M23" s="19"/>
      <c r="N23" s="19"/>
      <c r="O23" s="5"/>
      <c r="P23" s="24"/>
      <c r="Q23" s="13"/>
      <c r="R23" s="6"/>
      <c r="S23" s="14"/>
      <c r="T23" s="14"/>
    </row>
    <row r="24" spans="1:20" s="1" customFormat="1" ht="28.5" customHeight="1">
      <c r="A24" s="6"/>
      <c r="B24" s="23" t="s">
        <v>495</v>
      </c>
      <c r="C24" s="23" t="s">
        <v>496</v>
      </c>
      <c r="D24" s="6"/>
      <c r="E24" s="6"/>
      <c r="F24" s="30"/>
      <c r="G24" s="19"/>
      <c r="H24" s="19"/>
      <c r="I24" s="6"/>
      <c r="J24" s="11"/>
      <c r="K24" s="11"/>
      <c r="L24" s="6"/>
      <c r="M24" s="19"/>
      <c r="N24" s="19"/>
      <c r="O24" s="5"/>
      <c r="P24" s="24"/>
      <c r="Q24" s="13"/>
      <c r="R24" s="6"/>
      <c r="S24" s="14"/>
      <c r="T24" s="14"/>
    </row>
    <row r="25" spans="1:20" s="1" customFormat="1" ht="79.2">
      <c r="A25" s="6"/>
      <c r="B25" s="20" t="s">
        <v>497</v>
      </c>
      <c r="C25" s="12"/>
      <c r="D25" s="6"/>
      <c r="E25" s="6"/>
      <c r="F25" s="30"/>
      <c r="G25" s="19"/>
      <c r="H25" s="19"/>
      <c r="I25" s="6"/>
      <c r="J25" s="11"/>
      <c r="K25" s="11"/>
      <c r="L25" s="6"/>
      <c r="M25" s="19"/>
      <c r="N25" s="19"/>
      <c r="O25" s="5"/>
      <c r="P25" s="24"/>
      <c r="Q25" s="13"/>
      <c r="R25" s="6"/>
      <c r="S25" s="14"/>
      <c r="T25" s="14"/>
    </row>
    <row r="26" spans="1:20" s="1" customFormat="1" ht="39.6">
      <c r="A26" s="6"/>
      <c r="B26" s="20" t="s">
        <v>498</v>
      </c>
      <c r="C26" s="12"/>
      <c r="D26" s="6"/>
      <c r="E26" s="6"/>
      <c r="F26" s="30"/>
      <c r="G26" s="19"/>
      <c r="H26" s="19"/>
      <c r="I26" s="6"/>
      <c r="J26" s="11"/>
      <c r="K26" s="11"/>
      <c r="L26" s="6"/>
      <c r="M26" s="19"/>
      <c r="N26" s="19"/>
      <c r="O26" s="5"/>
      <c r="P26" s="24"/>
      <c r="Q26" s="13"/>
      <c r="R26" s="6"/>
      <c r="S26" s="14"/>
      <c r="T26" s="14"/>
    </row>
    <row r="27" spans="1:20" s="1" customFormat="1" ht="39.6">
      <c r="A27" s="6"/>
      <c r="B27" s="20" t="s">
        <v>499</v>
      </c>
      <c r="C27" s="12"/>
      <c r="D27" s="6"/>
      <c r="E27" s="6"/>
      <c r="F27" s="30"/>
      <c r="G27" s="19"/>
      <c r="H27" s="19"/>
      <c r="I27" s="6"/>
      <c r="J27" s="11"/>
      <c r="K27" s="11"/>
      <c r="L27" s="6"/>
      <c r="M27" s="19"/>
      <c r="N27" s="19"/>
      <c r="O27" s="5"/>
      <c r="P27" s="24"/>
      <c r="Q27" s="13"/>
      <c r="R27" s="6"/>
      <c r="S27" s="14"/>
      <c r="T27" s="14"/>
    </row>
    <row r="28" spans="1:20" s="1" customFormat="1" ht="52.8">
      <c r="A28" s="6"/>
      <c r="B28" s="20" t="s">
        <v>500</v>
      </c>
      <c r="C28" s="12"/>
      <c r="D28" s="6"/>
      <c r="E28" s="6"/>
      <c r="F28" s="30"/>
      <c r="G28" s="13"/>
      <c r="H28" s="13"/>
      <c r="I28" s="13"/>
      <c r="J28" s="13"/>
      <c r="K28" s="13"/>
      <c r="L28" s="13"/>
      <c r="M28" s="13"/>
      <c r="N28" s="13"/>
      <c r="O28" s="5"/>
      <c r="P28" s="13"/>
      <c r="Q28" s="13"/>
      <c r="R28" s="13"/>
      <c r="S28" s="13"/>
      <c r="T28" s="14"/>
    </row>
    <row r="29" spans="1:20" s="1" customFormat="1" ht="66">
      <c r="A29" s="6"/>
      <c r="B29" s="20" t="s">
        <v>501</v>
      </c>
      <c r="C29" s="12"/>
      <c r="D29" s="6"/>
      <c r="E29" s="6"/>
      <c r="F29" s="31"/>
      <c r="G29" s="19"/>
      <c r="H29" s="6"/>
      <c r="I29" s="11"/>
      <c r="J29" s="6"/>
      <c r="K29" s="6"/>
      <c r="L29" s="19"/>
      <c r="M29" s="19"/>
      <c r="N29" s="6"/>
      <c r="O29" s="5"/>
      <c r="P29" s="13"/>
      <c r="Q29" s="6"/>
      <c r="R29" s="14"/>
      <c r="S29" s="14"/>
      <c r="T29" s="14"/>
    </row>
    <row r="30" spans="1:20" s="1" customFormat="1" ht="26.4">
      <c r="A30" s="6"/>
      <c r="B30" s="20" t="s">
        <v>502</v>
      </c>
      <c r="C30" s="12"/>
      <c r="D30" s="6"/>
      <c r="E30" s="6"/>
      <c r="F30" s="19"/>
      <c r="G30" s="19"/>
      <c r="H30" s="6"/>
      <c r="I30" s="11"/>
      <c r="J30" s="6"/>
      <c r="K30" s="6"/>
      <c r="L30" s="19"/>
      <c r="M30" s="19"/>
      <c r="N30" s="6"/>
      <c r="O30" s="5"/>
      <c r="P30" s="13"/>
      <c r="Q30" s="6"/>
      <c r="R30" s="14"/>
      <c r="S30" s="14"/>
      <c r="T30" s="14"/>
    </row>
    <row r="31" spans="1:20" s="1" customFormat="1" ht="39.6">
      <c r="A31" s="6"/>
      <c r="B31" s="20" t="s">
        <v>503</v>
      </c>
      <c r="C31" s="12"/>
      <c r="D31" s="6"/>
      <c r="E31" s="6"/>
      <c r="F31" s="19"/>
      <c r="G31" s="19"/>
      <c r="H31" s="6"/>
      <c r="I31" s="11"/>
      <c r="J31" s="6"/>
      <c r="K31" s="6"/>
      <c r="L31" s="19"/>
      <c r="M31" s="19"/>
      <c r="N31" s="6"/>
      <c r="O31" s="5"/>
      <c r="P31" s="13"/>
      <c r="Q31" s="6"/>
      <c r="R31" s="14"/>
      <c r="S31" s="14"/>
      <c r="T31" s="14"/>
    </row>
    <row r="32" spans="1:20" s="1" customFormat="1" ht="21">
      <c r="A32" s="6"/>
      <c r="B32" s="12"/>
      <c r="C32" s="12"/>
      <c r="D32" s="6"/>
      <c r="E32" s="6"/>
      <c r="F32" s="19"/>
      <c r="G32" s="19"/>
      <c r="H32" s="6"/>
      <c r="I32" s="11"/>
      <c r="J32" s="6"/>
      <c r="K32" s="6"/>
      <c r="L32" s="19"/>
      <c r="M32" s="19"/>
      <c r="N32" s="6"/>
      <c r="O32" s="5"/>
      <c r="P32" s="13"/>
      <c r="Q32" s="6"/>
      <c r="R32" s="14"/>
      <c r="S32" s="14"/>
      <c r="T32" s="14"/>
    </row>
    <row r="33" spans="1:20" s="1" customFormat="1" ht="31.5" customHeight="1">
      <c r="A33" s="6"/>
      <c r="B33" s="22" t="s">
        <v>504</v>
      </c>
      <c r="C33" s="21" t="s">
        <v>505</v>
      </c>
      <c r="D33" s="6"/>
      <c r="E33" s="6"/>
      <c r="F33" s="19"/>
      <c r="G33" s="19"/>
      <c r="H33" s="6"/>
      <c r="I33" s="11"/>
      <c r="J33" s="6"/>
      <c r="K33" s="6"/>
      <c r="L33" s="19"/>
      <c r="M33" s="19"/>
      <c r="N33" s="6"/>
      <c r="O33" s="5"/>
      <c r="P33" s="13"/>
      <c r="Q33" s="6"/>
      <c r="R33" s="14"/>
      <c r="S33" s="14"/>
      <c r="T33" s="14"/>
    </row>
    <row r="34" spans="1:20" s="1" customFormat="1" ht="66">
      <c r="A34" s="6"/>
      <c r="B34" s="20" t="s">
        <v>506</v>
      </c>
      <c r="C34" s="12"/>
      <c r="D34" s="6"/>
      <c r="E34" s="6"/>
      <c r="F34" s="19"/>
      <c r="G34" s="19"/>
      <c r="H34" s="6"/>
      <c r="I34" s="11"/>
      <c r="J34" s="6"/>
      <c r="K34" s="6"/>
      <c r="L34" s="19"/>
      <c r="M34" s="19"/>
      <c r="N34" s="6"/>
      <c r="O34" s="5"/>
      <c r="P34" s="13"/>
      <c r="Q34" s="6"/>
      <c r="R34" s="14"/>
      <c r="S34" s="14"/>
      <c r="T34" s="14"/>
    </row>
    <row r="35" spans="1:20" s="1" customFormat="1" ht="52.8">
      <c r="A35" s="6"/>
      <c r="B35" s="20" t="s">
        <v>507</v>
      </c>
      <c r="C35" s="12"/>
      <c r="D35" s="6"/>
      <c r="E35" s="6"/>
      <c r="F35" s="19"/>
      <c r="G35" s="19"/>
      <c r="H35" s="6"/>
      <c r="I35" s="11"/>
      <c r="J35" s="6"/>
      <c r="K35" s="6"/>
      <c r="L35" s="19"/>
      <c r="M35" s="19"/>
      <c r="N35" s="6"/>
      <c r="O35" s="5"/>
      <c r="P35" s="13"/>
      <c r="Q35" s="6"/>
      <c r="R35" s="14"/>
      <c r="S35" s="14"/>
      <c r="T35" s="14"/>
    </row>
    <row r="36" spans="1:20" s="1" customFormat="1" ht="39.6">
      <c r="A36" s="6"/>
      <c r="B36" s="20" t="s">
        <v>503</v>
      </c>
      <c r="C36" s="12"/>
      <c r="D36" s="6"/>
      <c r="E36" s="6"/>
      <c r="F36" s="19"/>
      <c r="G36" s="19"/>
      <c r="H36" s="6"/>
      <c r="I36" s="11"/>
      <c r="J36" s="6"/>
      <c r="K36" s="6"/>
      <c r="L36" s="19"/>
      <c r="M36" s="19"/>
      <c r="N36" s="6"/>
      <c r="O36" s="5"/>
      <c r="P36" s="13"/>
      <c r="Q36" s="6"/>
      <c r="R36" s="14"/>
      <c r="S36" s="14"/>
      <c r="T36" s="14"/>
    </row>
    <row r="37" spans="1:20" s="1" customFormat="1" ht="52.8">
      <c r="A37" s="6"/>
      <c r="B37" s="20" t="s">
        <v>508</v>
      </c>
      <c r="C37" s="12"/>
      <c r="D37" s="6"/>
      <c r="E37" s="6"/>
      <c r="F37" s="19"/>
      <c r="G37" s="19"/>
      <c r="H37" s="6"/>
      <c r="I37" s="11"/>
      <c r="J37" s="6"/>
      <c r="K37" s="6"/>
      <c r="L37" s="19"/>
      <c r="M37" s="19"/>
      <c r="N37" s="6"/>
      <c r="O37" s="5"/>
      <c r="P37" s="13"/>
      <c r="Q37" s="6"/>
      <c r="R37" s="14"/>
      <c r="S37" s="14"/>
      <c r="T37" s="14"/>
    </row>
    <row r="38" spans="1:20" s="1" customFormat="1" ht="39.6">
      <c r="A38" s="6"/>
      <c r="B38" s="20" t="s">
        <v>509</v>
      </c>
      <c r="C38" s="12"/>
      <c r="D38" s="6"/>
      <c r="E38" s="6"/>
      <c r="F38" s="19"/>
      <c r="G38" s="19"/>
      <c r="H38" s="6"/>
      <c r="I38" s="11"/>
      <c r="J38" s="6"/>
      <c r="K38" s="6"/>
      <c r="L38" s="19"/>
      <c r="M38" s="19"/>
      <c r="N38" s="6"/>
      <c r="O38" s="5"/>
      <c r="P38" s="13"/>
      <c r="Q38" s="6"/>
      <c r="R38" s="14"/>
      <c r="S38" s="14"/>
      <c r="T38" s="14"/>
    </row>
    <row r="39" spans="1:20" s="1" customFormat="1" ht="52.8">
      <c r="A39" s="6"/>
      <c r="B39" s="20" t="s">
        <v>510</v>
      </c>
      <c r="C39" s="12"/>
      <c r="D39" s="6"/>
      <c r="E39" s="6"/>
      <c r="F39" s="19"/>
      <c r="G39" s="19"/>
      <c r="H39" s="6"/>
      <c r="I39" s="11"/>
      <c r="J39" s="6"/>
      <c r="K39" s="6"/>
      <c r="L39" s="19"/>
      <c r="M39" s="19"/>
      <c r="N39" s="6"/>
      <c r="O39" s="5"/>
      <c r="P39" s="13"/>
      <c r="Q39" s="6"/>
      <c r="R39" s="14"/>
      <c r="S39" s="14"/>
      <c r="T39" s="14"/>
    </row>
  </sheetData>
  <mergeCells count="20">
    <mergeCell ref="R8:R9"/>
    <mergeCell ref="S8:S9"/>
    <mergeCell ref="T8:T9"/>
    <mergeCell ref="D6:D9"/>
    <mergeCell ref="E6:E9"/>
    <mergeCell ref="K8:K9"/>
    <mergeCell ref="L8:L9"/>
    <mergeCell ref="M8:M9"/>
    <mergeCell ref="N8:N9"/>
    <mergeCell ref="P8:P9"/>
    <mergeCell ref="I8:I9"/>
    <mergeCell ref="B6:B9"/>
    <mergeCell ref="A6:A9"/>
    <mergeCell ref="C6:C9"/>
    <mergeCell ref="J8:J9"/>
    <mergeCell ref="Q8:Q9"/>
    <mergeCell ref="O8:O9"/>
    <mergeCell ref="F8:F9"/>
    <mergeCell ref="G8:G9"/>
    <mergeCell ref="H8:H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DAB8CEC146DA4F9D4A54135F6A8D1C" ma:contentTypeVersion="17" ma:contentTypeDescription="Create a new document." ma:contentTypeScope="" ma:versionID="831bfb1ec19fc0a84e4e81afe53b9e29">
  <xsd:schema xmlns:xsd="http://www.w3.org/2001/XMLSchema" xmlns:xs="http://www.w3.org/2001/XMLSchema" xmlns:p="http://schemas.microsoft.com/office/2006/metadata/properties" xmlns:ns2="f62fccd8-9e7f-4363-9835-14bd698f1d35" xmlns:ns3="78f16e8c-5015-47ba-9acf-c1cc414010c0" targetNamespace="http://schemas.microsoft.com/office/2006/metadata/properties" ma:root="true" ma:fieldsID="45b190d5f97f5871a0d3dd7b9457e526" ns2:_="" ns3:_="">
    <xsd:import namespace="f62fccd8-9e7f-4363-9835-14bd698f1d35"/>
    <xsd:import namespace="78f16e8c-5015-47ba-9acf-c1cc414010c0"/>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SearchProperties"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2fccd8-9e7f-4363-9835-14bd698f1d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9bc43cd4-23ed-4fb6-b16a-0777e254c027" ma:termSetId="09814cd3-568e-fe90-9814-8d621ff8fb84" ma:anchorId="fba54fb3-c3e1-fe81-a776-ca4b69148c4d" ma:open="true" ma:isKeyword="false">
      <xsd:complexType>
        <xsd:sequence>
          <xsd:element ref="pc:Terms" minOccurs="0" maxOccurs="1"/>
        </xsd:sequence>
      </xsd:complexType>
    </xsd:element>
    <xsd:element name="MediaServiceSearchProperties" ma:index="22" nillable="true" ma:displayName="MediaServiceSearchProperties" ma:hidden="true" ma:internalName="MediaServiceSearchProperties" ma:readOnly="true">
      <xsd:simpleType>
        <xsd:restriction base="dms:Note"/>
      </xsd:simpleType>
    </xsd:element>
    <xsd:element name="_Flow_SignoffStatus" ma:index="23"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f16e8c-5015-47ba-9acf-c1cc414010c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afc17a45-2445-4722-a5d0-f9d38c299169}" ma:internalName="TaxCatchAll" ma:showField="CatchAllData" ma:web="78f16e8c-5015-47ba-9acf-c1cc414010c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78f16e8c-5015-47ba-9acf-c1cc414010c0" xsi:nil="true"/>
    <lcf76f155ced4ddcb4097134ff3c332f xmlns="f62fccd8-9e7f-4363-9835-14bd698f1d35">
      <Terms xmlns="http://schemas.microsoft.com/office/infopath/2007/PartnerControls"/>
    </lcf76f155ced4ddcb4097134ff3c332f>
    <_Flow_SignoffStatus xmlns="f62fccd8-9e7f-4363-9835-14bd698f1d35" xsi:nil="true"/>
  </documentManagement>
</p:properties>
</file>

<file path=customXml/itemProps1.xml><?xml version="1.0" encoding="utf-8"?>
<ds:datastoreItem xmlns:ds="http://schemas.openxmlformats.org/officeDocument/2006/customXml" ds:itemID="{5C5D40E3-C3A6-4C1C-9F3F-6CE0E7973146}">
  <ds:schemaRefs>
    <ds:schemaRef ds:uri="http://schemas.microsoft.com/sharepoint/v3/contenttype/forms"/>
  </ds:schemaRefs>
</ds:datastoreItem>
</file>

<file path=customXml/itemProps2.xml><?xml version="1.0" encoding="utf-8"?>
<ds:datastoreItem xmlns:ds="http://schemas.openxmlformats.org/officeDocument/2006/customXml" ds:itemID="{1A50DE7C-16FF-4470-BEF8-AFA65732D4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2fccd8-9e7f-4363-9835-14bd698f1d35"/>
    <ds:schemaRef ds:uri="78f16e8c-5015-47ba-9acf-c1cc414010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FBE110C-F46F-4043-BAB3-9B197BAD40D7}">
  <ds:schemaRefs>
    <ds:schemaRef ds:uri="http://schemas.microsoft.com/office/2006/metadata/properties"/>
    <ds:schemaRef ds:uri="http://schemas.microsoft.com/office/infopath/2007/PartnerControls"/>
    <ds:schemaRef ds:uri="78f16e8c-5015-47ba-9acf-c1cc414010c0"/>
    <ds:schemaRef ds:uri="f62fccd8-9e7f-4363-9835-14bd698f1d3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cartographie_des_risques</vt:lpstr>
      <vt:lpstr>Grilles_Cotation</vt:lpstr>
      <vt:lpstr>Matrice_Risque_Globale</vt:lpstr>
      <vt:lpstr>EJM-Risk Management Plan</vt:lpstr>
      <vt:lpstr>B - Approbations</vt:lpstr>
      <vt:lpstr>Sheet1</vt:lpstr>
      <vt:lpstr>cartographie_des_risques!Print_Area</vt:lpstr>
      <vt:lpstr>'EJM-Risk Management Plan'!Print_Area</vt:lpstr>
      <vt:lpstr>'EJM-Risk Management Plan'!Print_Titles</vt:lpstr>
    </vt:vector>
  </TitlesOfParts>
  <Manager/>
  <Company>Riverfestival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 satisfied Microsoft Office User</dc:creator>
  <cp:keywords/>
  <dc:description/>
  <cp:lastModifiedBy>Houssem Beltifa</cp:lastModifiedBy>
  <cp:revision/>
  <dcterms:created xsi:type="dcterms:W3CDTF">2002-08-23T03:57:11Z</dcterms:created>
  <dcterms:modified xsi:type="dcterms:W3CDTF">2023-04-24T18:43:38Z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0x01010000DAB8CEC146DA4F9D4A54135F6A8D1C</vt:lpwstr>
  </property>
  <property fmtid="{D5CDD505-2E9C-101B-9397-08002B2CF9AE}" pid="4" name="MediaServiceImageTags">
    <vt:lpwstr/>
  </property>
  <property fmtid="{D5CDD505-2E9C-101B-9397-08002B2CF9AE}" pid="5" name="ComplianceAssetId">
    <vt:lpwstr/>
  </property>
  <property fmtid="{D5CDD505-2E9C-101B-9397-08002B2CF9AE}" pid="6" name="_ExtendedDescription">
    <vt:lpwstr/>
  </property>
  <property fmtid="{D5CDD505-2E9C-101B-9397-08002B2CF9AE}" pid="7" name="TriggerFlowInfo">
    <vt:lpwstr/>
  </property>
</Properties>
</file>